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gi/Downloads/"/>
    </mc:Choice>
  </mc:AlternateContent>
  <xr:revisionPtr revIDLastSave="206" documentId="13_ncr:1_{A7140528-C629-B64D-8B2A-5A31FE25368B}" xr6:coauthVersionLast="47" xr6:coauthVersionMax="47" xr10:uidLastSave="{9C8DA217-1679-426D-8A38-A7907300AB8C}"/>
  <bookViews>
    <workbookView xWindow="780" yWindow="1000" windowWidth="27640" windowHeight="15740" firstSheet="11" activeTab="12" xr2:uid="{54F7AF01-D747-B140-8B94-AF291C726B55}"/>
  </bookViews>
  <sheets>
    <sheet name="2012" sheetId="11" r:id="rId1"/>
    <sheet name="2013" sheetId="10" r:id="rId2"/>
    <sheet name="2014" sheetId="1" r:id="rId3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All cases" sheetId="12" r:id="rId12"/>
    <sheet name="Counties reporting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E8" i="9"/>
  <c r="E11" i="9"/>
  <c r="E2" i="9"/>
  <c r="E5" i="8"/>
  <c r="E8" i="8"/>
  <c r="E11" i="8"/>
  <c r="E2" i="8"/>
  <c r="E5" i="7"/>
  <c r="E8" i="7"/>
  <c r="E11" i="7"/>
  <c r="E2" i="7"/>
  <c r="E2" i="6"/>
  <c r="E5" i="6"/>
  <c r="E8" i="6"/>
  <c r="E11" i="6"/>
  <c r="E5" i="5"/>
  <c r="E8" i="5"/>
  <c r="E11" i="5"/>
  <c r="E2" i="5"/>
  <c r="E5" i="4"/>
  <c r="E8" i="4"/>
  <c r="E11" i="4"/>
  <c r="E2" i="4"/>
  <c r="E5" i="3"/>
  <c r="E8" i="3"/>
  <c r="E11" i="3"/>
  <c r="E2" i="3"/>
  <c r="E5" i="2"/>
  <c r="E8" i="2"/>
  <c r="E11" i="2"/>
  <c r="E2" i="2"/>
  <c r="E2" i="1"/>
  <c r="E5" i="1"/>
  <c r="E8" i="1"/>
  <c r="E11" i="1"/>
  <c r="E5" i="10"/>
  <c r="E8" i="10"/>
  <c r="E11" i="10"/>
  <c r="E2" i="10"/>
  <c r="E8" i="11"/>
  <c r="E11" i="11"/>
  <c r="E5" i="11"/>
  <c r="E2" i="11"/>
  <c r="C27" i="13"/>
  <c r="D27" i="13"/>
  <c r="E27" i="13"/>
  <c r="B27" i="13"/>
  <c r="C13" i="12"/>
  <c r="D13" i="12"/>
  <c r="E13" i="12"/>
  <c r="B13" i="12"/>
  <c r="E17" i="13"/>
  <c r="E18" i="13"/>
  <c r="E19" i="13"/>
  <c r="E20" i="13"/>
  <c r="E21" i="13"/>
  <c r="E22" i="13"/>
  <c r="E23" i="13"/>
  <c r="E24" i="13"/>
  <c r="E25" i="13"/>
  <c r="E26" i="13"/>
  <c r="E16" i="13"/>
  <c r="D17" i="13"/>
  <c r="D18" i="13"/>
  <c r="D19" i="13"/>
  <c r="D20" i="13"/>
  <c r="D21" i="13"/>
  <c r="D22" i="13"/>
  <c r="D23" i="13"/>
  <c r="D24" i="13"/>
  <c r="D25" i="13"/>
  <c r="D26" i="13"/>
  <c r="D16" i="13"/>
  <c r="C17" i="13"/>
  <c r="C18" i="13"/>
  <c r="C19" i="13"/>
  <c r="C20" i="13"/>
  <c r="C21" i="13"/>
  <c r="C22" i="13"/>
  <c r="C23" i="13"/>
  <c r="C24" i="13"/>
  <c r="C25" i="13"/>
  <c r="C26" i="13"/>
  <c r="C16" i="13"/>
  <c r="B17" i="13"/>
  <c r="B18" i="13"/>
  <c r="B19" i="13"/>
  <c r="B20" i="13"/>
  <c r="B21" i="13"/>
  <c r="B22" i="13"/>
  <c r="B23" i="13"/>
  <c r="B24" i="13"/>
  <c r="B25" i="13"/>
  <c r="B26" i="13"/>
  <c r="B16" i="13"/>
</calcChain>
</file>

<file path=xl/sharedStrings.xml><?xml version="1.0" encoding="utf-8"?>
<sst xmlns="http://schemas.openxmlformats.org/spreadsheetml/2006/main" count="272" uniqueCount="25">
  <si>
    <t>State</t>
  </si>
  <si>
    <t>Activity</t>
  </si>
  <si>
    <t>Reported human cases</t>
  </si>
  <si>
    <t>Identified by Blood Donor Screening</t>
  </si>
  <si>
    <t>Total</t>
  </si>
  <si>
    <t>Counties reporting</t>
  </si>
  <si>
    <t>CA</t>
  </si>
  <si>
    <t>Human</t>
  </si>
  <si>
    <t>Non-human</t>
  </si>
  <si>
    <t>Both</t>
  </si>
  <si>
    <t>CO</t>
  </si>
  <si>
    <t>OK</t>
  </si>
  <si>
    <t>TX</t>
  </si>
  <si>
    <t>Counties Reporting</t>
  </si>
  <si>
    <t>Number of counties reporting</t>
  </si>
  <si>
    <t>Year</t>
  </si>
  <si>
    <t>Cases reported in the past decade (2012-2022)</t>
  </si>
  <si>
    <t>Total cases</t>
  </si>
  <si>
    <t>California</t>
  </si>
  <si>
    <t>Texas</t>
  </si>
  <si>
    <t>Colorado</t>
  </si>
  <si>
    <t>Oklahoma</t>
  </si>
  <si>
    <t>Number of counties</t>
  </si>
  <si>
    <t>Percent of counties reporting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</si>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</sst>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5" xfId="0" applyFont="1" applyBorder="1"/>
    <xf numFmtId="0" fontId="1" fillId="0" borderId="1" xfId="0" applyFont="1" applyBorder="1"/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/>
    <xf numFmtId="0" fontId="1" fillId="0" borderId="7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16" xfId="0" applyBorder="1"/>
    <xf numFmtId="2" fontId="0" fillId="0" borderId="1" xfId="0" applyNumberFormat="1" applyBorder="1"/>
    <xf numFmtId="2" fontId="0" fillId="0" borderId="0" xfId="0" applyNumberFormat="1"/>
    <xf numFmtId="0" fontId="1" fillId="0" borderId="16" xfId="0" applyFont="1" applyBorder="1"/>
    <xf numFmtId="0" fontId="0" fillId="0" borderId="7" xfId="0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Cases reported in high risk states from 2012 to 2022</a:t>
            </a:r>
          </a:p>
        </c:rich>
      </c:tx>
      <c:layout>
        <c:manualLayout>
          <c:xMode val="edge"/>
          <c:yMode val="edge"/>
          <c:x val="0.11076751384465533"/>
          <c:y val="4.9128678472032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02668416447938E-2"/>
          <c:y val="0.17168999708369787"/>
          <c:w val="0.86609733158355207"/>
          <c:h val="0.69840150189559635"/>
        </c:manualLayout>
      </c:layout>
      <c:scatterChart>
        <c:scatterStyle val="lineMarker"/>
        <c:varyColors val="0"/>
        <c:ser>
          <c:idx val="0"/>
          <c:order val="0"/>
          <c:tx>
            <c:v>California</c:v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cases'!$B$2:$B$12</c:f>
              <c:numCache>
                <c:formatCode>General</c:formatCode>
                <c:ptCount val="11"/>
                <c:pt idx="0">
                  <c:v>542</c:v>
                </c:pt>
                <c:pt idx="1">
                  <c:v>447</c:v>
                </c:pt>
                <c:pt idx="2">
                  <c:v>897</c:v>
                </c:pt>
                <c:pt idx="3">
                  <c:v>860</c:v>
                </c:pt>
                <c:pt idx="4">
                  <c:v>492</c:v>
                </c:pt>
                <c:pt idx="5">
                  <c:v>607</c:v>
                </c:pt>
                <c:pt idx="6">
                  <c:v>244</c:v>
                </c:pt>
                <c:pt idx="7">
                  <c:v>243</c:v>
                </c:pt>
                <c:pt idx="8">
                  <c:v>267</c:v>
                </c:pt>
                <c:pt idx="9">
                  <c:v>149</c:v>
                </c:pt>
                <c:pt idx="10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B-3647-89F5-09FE384A5312}"/>
            </c:ext>
          </c:extLst>
        </c:ser>
        <c:ser>
          <c:idx val="1"/>
          <c:order val="1"/>
          <c:tx>
            <c:v>Colorado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cases'!$C$2:$C$12</c:f>
              <c:numCache>
                <c:formatCode>General</c:formatCode>
                <c:ptCount val="11"/>
                <c:pt idx="0">
                  <c:v>143</c:v>
                </c:pt>
                <c:pt idx="1">
                  <c:v>344</c:v>
                </c:pt>
                <c:pt idx="2">
                  <c:v>127</c:v>
                </c:pt>
                <c:pt idx="3">
                  <c:v>109</c:v>
                </c:pt>
                <c:pt idx="4">
                  <c:v>158</c:v>
                </c:pt>
                <c:pt idx="5">
                  <c:v>72</c:v>
                </c:pt>
                <c:pt idx="6">
                  <c:v>100</c:v>
                </c:pt>
                <c:pt idx="7">
                  <c:v>133</c:v>
                </c:pt>
                <c:pt idx="8">
                  <c:v>43</c:v>
                </c:pt>
                <c:pt idx="9">
                  <c:v>199</c:v>
                </c:pt>
                <c:pt idx="10">
                  <c:v>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B-3647-89F5-09FE384A5312}"/>
            </c:ext>
          </c:extLst>
        </c:ser>
        <c:ser>
          <c:idx val="2"/>
          <c:order val="2"/>
          <c:tx>
            <c:v>Oklahoma</c:v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cases'!$D$2:$D$12</c:f>
              <c:numCache>
                <c:formatCode>General</c:formatCode>
                <c:ptCount val="11"/>
                <c:pt idx="0">
                  <c:v>229</c:v>
                </c:pt>
                <c:pt idx="1">
                  <c:v>107</c:v>
                </c:pt>
                <c:pt idx="2">
                  <c:v>30</c:v>
                </c:pt>
                <c:pt idx="3">
                  <c:v>107</c:v>
                </c:pt>
                <c:pt idx="4">
                  <c:v>42</c:v>
                </c:pt>
                <c:pt idx="5">
                  <c:v>48</c:v>
                </c:pt>
                <c:pt idx="6">
                  <c:v>24</c:v>
                </c:pt>
                <c:pt idx="7">
                  <c:v>8</c:v>
                </c:pt>
                <c:pt idx="8">
                  <c:v>8</c:v>
                </c:pt>
                <c:pt idx="9">
                  <c:v>27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2B-3647-89F5-09FE384A5312}"/>
            </c:ext>
          </c:extLst>
        </c:ser>
        <c:ser>
          <c:idx val="3"/>
          <c:order val="3"/>
          <c:tx>
            <c:v>Texas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cases'!$E$2:$E$12</c:f>
              <c:numCache>
                <c:formatCode>General</c:formatCode>
                <c:ptCount val="11"/>
                <c:pt idx="0">
                  <c:v>1976</c:v>
                </c:pt>
                <c:pt idx="1">
                  <c:v>222</c:v>
                </c:pt>
                <c:pt idx="2">
                  <c:v>440</c:v>
                </c:pt>
                <c:pt idx="3">
                  <c:v>304</c:v>
                </c:pt>
                <c:pt idx="4">
                  <c:v>415</c:v>
                </c:pt>
                <c:pt idx="5">
                  <c:v>149</c:v>
                </c:pt>
                <c:pt idx="6">
                  <c:v>170</c:v>
                </c:pt>
                <c:pt idx="7">
                  <c:v>36</c:v>
                </c:pt>
                <c:pt idx="8">
                  <c:v>152</c:v>
                </c:pt>
                <c:pt idx="9">
                  <c:v>191</c:v>
                </c:pt>
                <c:pt idx="10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2B-3647-89F5-09FE384A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76815"/>
        <c:axId val="32722159"/>
      </c:scatterChart>
      <c:valAx>
        <c:axId val="3257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2159"/>
        <c:crosses val="autoZero"/>
        <c:crossBetween val="midCat"/>
      </c:valAx>
      <c:valAx>
        <c:axId val="32722159"/>
        <c:scaling>
          <c:orientation val="minMax"/>
          <c:max val="2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reported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48803785088432"/>
          <c:y val="0.26689564060689225"/>
          <c:w val="0.15932299113017376"/>
          <c:h val="0.2202424156439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cases'!$B$1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cases'!$B$2:$B$12</c:f>
              <c:numCache>
                <c:formatCode>General</c:formatCode>
                <c:ptCount val="11"/>
                <c:pt idx="0">
                  <c:v>542</c:v>
                </c:pt>
                <c:pt idx="1">
                  <c:v>447</c:v>
                </c:pt>
                <c:pt idx="2">
                  <c:v>897</c:v>
                </c:pt>
                <c:pt idx="3">
                  <c:v>860</c:v>
                </c:pt>
                <c:pt idx="4">
                  <c:v>492</c:v>
                </c:pt>
                <c:pt idx="5">
                  <c:v>607</c:v>
                </c:pt>
                <c:pt idx="6">
                  <c:v>244</c:v>
                </c:pt>
                <c:pt idx="7">
                  <c:v>243</c:v>
                </c:pt>
                <c:pt idx="8">
                  <c:v>267</c:v>
                </c:pt>
                <c:pt idx="9">
                  <c:v>149</c:v>
                </c:pt>
                <c:pt idx="10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6-774B-B5E1-AF054E5D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449664"/>
        <c:axId val="33386159"/>
      </c:scatterChart>
      <c:valAx>
        <c:axId val="17344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6159"/>
        <c:crosses val="autoZero"/>
        <c:crossBetween val="midCat"/>
      </c:valAx>
      <c:valAx>
        <c:axId val="333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4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cases'!$C$1</c:f>
              <c:strCache>
                <c:ptCount val="1"/>
                <c:pt idx="0">
                  <c:v>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cases'!$C$2:$C$12</c:f>
              <c:numCache>
                <c:formatCode>General</c:formatCode>
                <c:ptCount val="11"/>
                <c:pt idx="0">
                  <c:v>143</c:v>
                </c:pt>
                <c:pt idx="1">
                  <c:v>344</c:v>
                </c:pt>
                <c:pt idx="2">
                  <c:v>127</c:v>
                </c:pt>
                <c:pt idx="3">
                  <c:v>109</c:v>
                </c:pt>
                <c:pt idx="4">
                  <c:v>158</c:v>
                </c:pt>
                <c:pt idx="5">
                  <c:v>72</c:v>
                </c:pt>
                <c:pt idx="6">
                  <c:v>100</c:v>
                </c:pt>
                <c:pt idx="7">
                  <c:v>133</c:v>
                </c:pt>
                <c:pt idx="8">
                  <c:v>43</c:v>
                </c:pt>
                <c:pt idx="9">
                  <c:v>199</c:v>
                </c:pt>
                <c:pt idx="10">
                  <c:v>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B-9C44-BEC1-22F33DAD3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093984"/>
        <c:axId val="1773517536"/>
      </c:scatterChart>
      <c:valAx>
        <c:axId val="177409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17536"/>
        <c:crosses val="autoZero"/>
        <c:crossBetween val="midCat"/>
      </c:valAx>
      <c:valAx>
        <c:axId val="17735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09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cases'!$D$1</c:f>
              <c:strCache>
                <c:ptCount val="1"/>
                <c:pt idx="0">
                  <c:v>OK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cases'!$D$2:$D$12</c:f>
              <c:numCache>
                <c:formatCode>General</c:formatCode>
                <c:ptCount val="11"/>
                <c:pt idx="0">
                  <c:v>229</c:v>
                </c:pt>
                <c:pt idx="1">
                  <c:v>107</c:v>
                </c:pt>
                <c:pt idx="2">
                  <c:v>30</c:v>
                </c:pt>
                <c:pt idx="3">
                  <c:v>107</c:v>
                </c:pt>
                <c:pt idx="4">
                  <c:v>42</c:v>
                </c:pt>
                <c:pt idx="5">
                  <c:v>48</c:v>
                </c:pt>
                <c:pt idx="6">
                  <c:v>24</c:v>
                </c:pt>
                <c:pt idx="7">
                  <c:v>8</c:v>
                </c:pt>
                <c:pt idx="8">
                  <c:v>8</c:v>
                </c:pt>
                <c:pt idx="9">
                  <c:v>27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C-A74A-9F96-8E8BCAC97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685072"/>
        <c:axId val="1734642672"/>
      </c:scatterChart>
      <c:valAx>
        <c:axId val="173468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42672"/>
        <c:crosses val="autoZero"/>
        <c:crossBetween val="midCat"/>
      </c:valAx>
      <c:valAx>
        <c:axId val="17346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8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cases'!$E$1</c:f>
              <c:strCache>
                <c:ptCount val="1"/>
                <c:pt idx="0">
                  <c:v>TX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cases'!$A$2:$A$12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'All cases'!$E$2:$E$12</c:f>
              <c:numCache>
                <c:formatCode>General</c:formatCode>
                <c:ptCount val="11"/>
                <c:pt idx="0">
                  <c:v>1976</c:v>
                </c:pt>
                <c:pt idx="1">
                  <c:v>222</c:v>
                </c:pt>
                <c:pt idx="2">
                  <c:v>440</c:v>
                </c:pt>
                <c:pt idx="3">
                  <c:v>304</c:v>
                </c:pt>
                <c:pt idx="4">
                  <c:v>415</c:v>
                </c:pt>
                <c:pt idx="5">
                  <c:v>149</c:v>
                </c:pt>
                <c:pt idx="6">
                  <c:v>170</c:v>
                </c:pt>
                <c:pt idx="7">
                  <c:v>36</c:v>
                </c:pt>
                <c:pt idx="8">
                  <c:v>152</c:v>
                </c:pt>
                <c:pt idx="9">
                  <c:v>191</c:v>
                </c:pt>
                <c:pt idx="10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D-2340-BF4B-A4DDA2024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92464"/>
        <c:axId val="43687183"/>
      </c:scatterChart>
      <c:valAx>
        <c:axId val="207479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7183"/>
        <c:crosses val="autoZero"/>
        <c:crossBetween val="midCat"/>
      </c:valAx>
      <c:valAx>
        <c:axId val="4368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9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Percentage of counties reporting WNV activity in each high-risk state.</a:t>
            </a:r>
          </a:p>
        </c:rich>
      </c:tx>
      <c:layout>
        <c:manualLayout>
          <c:xMode val="edge"/>
          <c:yMode val="edge"/>
          <c:x val="0.10543583042963875"/>
          <c:y val="2.717669891655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California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numRef>
              <c:f>'Counties reporting'!$A$16:$A$26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'Counties reporting'!$B$16:$B$26</c:f>
              <c:numCache>
                <c:formatCode>0.00</c:formatCode>
                <c:ptCount val="11"/>
                <c:pt idx="0">
                  <c:v>72.41379310344827</c:v>
                </c:pt>
                <c:pt idx="1">
                  <c:v>74.137931034482762</c:v>
                </c:pt>
                <c:pt idx="2">
                  <c:v>77.58620689655173</c:v>
                </c:pt>
                <c:pt idx="3">
                  <c:v>74.137931034482762</c:v>
                </c:pt>
                <c:pt idx="4">
                  <c:v>72.41379310344827</c:v>
                </c:pt>
                <c:pt idx="5">
                  <c:v>81.034482758620683</c:v>
                </c:pt>
                <c:pt idx="6">
                  <c:v>72.41379310344827</c:v>
                </c:pt>
                <c:pt idx="7">
                  <c:v>62.068965517241381</c:v>
                </c:pt>
                <c:pt idx="8">
                  <c:v>67.241379310344826</c:v>
                </c:pt>
                <c:pt idx="9">
                  <c:v>67.241379310344826</c:v>
                </c:pt>
                <c:pt idx="10">
                  <c:v>60.344827586206897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0-504B-AB89-3E6FF4DCB895}"/>
            </c:ext>
          </c:extLst>
        </c:ser>
        <c:ser>
          <c:idx val="1"/>
          <c:order val="1"/>
          <c:tx>
            <c:v>Colorado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'Counties reporting'!$A$16:$A$26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'Counties reporting'!$C$16:$C$26</c:f>
              <c:numCache>
                <c:formatCode>0.00</c:formatCode>
                <c:ptCount val="11"/>
                <c:pt idx="0">
                  <c:v>37.5</c:v>
                </c:pt>
                <c:pt idx="1">
                  <c:v>50</c:v>
                </c:pt>
                <c:pt idx="2">
                  <c:v>37.5</c:v>
                </c:pt>
                <c:pt idx="3">
                  <c:v>45.3125</c:v>
                </c:pt>
                <c:pt idx="4">
                  <c:v>34.375</c:v>
                </c:pt>
                <c:pt idx="5">
                  <c:v>37.5</c:v>
                </c:pt>
                <c:pt idx="6">
                  <c:v>31.25</c:v>
                </c:pt>
                <c:pt idx="7">
                  <c:v>42.1875</c:v>
                </c:pt>
                <c:pt idx="8">
                  <c:v>18.75</c:v>
                </c:pt>
                <c:pt idx="9">
                  <c:v>40.625</c:v>
                </c:pt>
                <c:pt idx="10">
                  <c:v>34.375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0-504B-AB89-3E6FF4DCB895}"/>
            </c:ext>
          </c:extLst>
        </c:ser>
        <c:ser>
          <c:idx val="2"/>
          <c:order val="2"/>
          <c:tx>
            <c:v>Oklahoma</c:v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numRef>
              <c:f>'Counties reporting'!$A$16:$A$26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'Counties reporting'!$D$16:$D$26</c:f>
              <c:numCache>
                <c:formatCode>0.00</c:formatCode>
                <c:ptCount val="11"/>
                <c:pt idx="0">
                  <c:v>64.935064935064929</c:v>
                </c:pt>
                <c:pt idx="1">
                  <c:v>61.038961038961034</c:v>
                </c:pt>
                <c:pt idx="2">
                  <c:v>36.363636363636367</c:v>
                </c:pt>
                <c:pt idx="3">
                  <c:v>49.350649350649348</c:v>
                </c:pt>
                <c:pt idx="4">
                  <c:v>35.064935064935064</c:v>
                </c:pt>
                <c:pt idx="5">
                  <c:v>27.27272727272727</c:v>
                </c:pt>
                <c:pt idx="6">
                  <c:v>25.97402597402597</c:v>
                </c:pt>
                <c:pt idx="7">
                  <c:v>6.4935064935064926</c:v>
                </c:pt>
                <c:pt idx="8">
                  <c:v>9.0909090909090917</c:v>
                </c:pt>
                <c:pt idx="9">
                  <c:v>25.97402597402597</c:v>
                </c:pt>
                <c:pt idx="10">
                  <c:v>24.675324675324674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0-504B-AB89-3E6FF4DCB895}"/>
            </c:ext>
          </c:extLst>
        </c:ser>
        <c:ser>
          <c:idx val="3"/>
          <c:order val="3"/>
          <c:tx>
            <c:v>Texas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'Counties reporting'!$A$16:$A$26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'Counties reporting'!$E$16:$E$26</c:f>
              <c:numCache>
                <c:formatCode>0.00</c:formatCode>
                <c:ptCount val="11"/>
                <c:pt idx="0">
                  <c:v>58.267716535433067</c:v>
                </c:pt>
                <c:pt idx="1">
                  <c:v>43.7007874015748</c:v>
                </c:pt>
                <c:pt idx="2">
                  <c:v>34.251968503937007</c:v>
                </c:pt>
                <c:pt idx="3">
                  <c:v>40.551181102362207</c:v>
                </c:pt>
                <c:pt idx="4">
                  <c:v>47.637795275590548</c:v>
                </c:pt>
                <c:pt idx="5">
                  <c:v>20.472440944881889</c:v>
                </c:pt>
                <c:pt idx="6">
                  <c:v>22.834645669291341</c:v>
                </c:pt>
                <c:pt idx="7">
                  <c:v>8.2677165354330722</c:v>
                </c:pt>
                <c:pt idx="8">
                  <c:v>15.354330708661418</c:v>
                </c:pt>
                <c:pt idx="9">
                  <c:v>22.047244094488189</c:v>
                </c:pt>
                <c:pt idx="10">
                  <c:v>12.992125984251967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0-504B-AB89-3E6FF4DCB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128528"/>
        <c:axId val="1289130176"/>
      </c:lineChart>
      <c:catAx>
        <c:axId val="128912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30176"/>
        <c:crosses val="autoZero"/>
        <c:auto val="1"/>
        <c:lblAlgn val="ctr"/>
        <c:lblOffset val="100"/>
        <c:noMultiLvlLbl val="0"/>
      </c:catAx>
      <c:valAx>
        <c:axId val="1289130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counties reporting (%)</a:t>
                </a:r>
              </a:p>
            </c:rich>
          </c:tx>
          <c:layout>
            <c:manualLayout>
              <c:xMode val="edge"/>
              <c:yMode val="edge"/>
              <c:x val="1.4492807233338824E-2"/>
              <c:y val="0.28599610657867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2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21452977181196"/>
          <c:y val="8.674188974787192E-2"/>
          <c:w val="0.1403165513401734"/>
          <c:h val="0.201385324072060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E7E6E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0</xdr:row>
      <xdr:rowOff>0</xdr:rowOff>
    </xdr:from>
    <xdr:to>
      <xdr:col>13</xdr:col>
      <xdr:colOff>714375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E2BE8-F0C3-ED49-A9DC-DD49C1213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-3175</xdr:colOff>
      <xdr:row>23</xdr:row>
      <xdr:rowOff>114300</xdr:rowOff>
    </xdr:from>
    <xdr:to>
      <xdr:col>5</xdr:col>
      <xdr:colOff>441325</xdr:colOff>
      <xdr:row>37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C323C-4F35-8D43-9389-155AF240D1CD}"/>
            </a:ext>
            <a:ext uri="{147F2762-F138-4A5C-976F-8EAC2B608ADB}">
              <a16:predDERef xmlns:a16="http://schemas.microsoft.com/office/drawing/2014/main" pred="{52DE2BE8-F0C3-ED49-A9DC-DD49C1213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708025</xdr:colOff>
      <xdr:row>22</xdr:row>
      <xdr:rowOff>19050</xdr:rowOff>
    </xdr:from>
    <xdr:to>
      <xdr:col>11</xdr:col>
      <xdr:colOff>327025</xdr:colOff>
      <xdr:row>35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16DEF4-781D-2A4E-A281-96478AAEC959}"/>
            </a:ext>
            <a:ext uri="{147F2762-F138-4A5C-976F-8EAC2B608ADB}">
              <a16:predDERef xmlns:a16="http://schemas.microsoft.com/office/drawing/2014/main" pred="{2ACC323C-4F35-8D43-9389-155AF240D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415925</xdr:colOff>
      <xdr:row>0</xdr:row>
      <xdr:rowOff>149225</xdr:rowOff>
    </xdr:from>
    <xdr:to>
      <xdr:col>19</xdr:col>
      <xdr:colOff>34925</xdr:colOff>
      <xdr:row>14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366573-ACD5-D74F-A949-4193E96242DB}"/>
            </a:ext>
            <a:ext uri="{147F2762-F138-4A5C-976F-8EAC2B608ADB}">
              <a16:predDERef xmlns:a16="http://schemas.microsoft.com/office/drawing/2014/main" pred="{B016DEF4-781D-2A4E-A281-96478AAEC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787400</xdr:colOff>
      <xdr:row>23</xdr:row>
      <xdr:rowOff>155575</xdr:rowOff>
    </xdr:from>
    <xdr:to>
      <xdr:col>18</xdr:col>
      <xdr:colOff>406400</xdr:colOff>
      <xdr:row>37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AE12FC-DC31-9F42-8C82-8B66D106F2A6}"/>
            </a:ext>
            <a:ext uri="{147F2762-F138-4A5C-976F-8EAC2B608ADB}">
              <a16:predDERef xmlns:a16="http://schemas.microsoft.com/office/drawing/2014/main" pred="{52366573-ACD5-D74F-A949-4193E9624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8</xdr:row>
      <xdr:rowOff>47625</xdr:rowOff>
    </xdr:from>
    <xdr:to>
      <xdr:col>16</xdr:col>
      <xdr:colOff>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3C8E7-CE3B-E944-84AD-4C01F2DA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D776-1653-2045-9914-0CDDF21B5900}">
  <dimension ref="A1:F13"/>
  <sheetViews>
    <sheetView workbookViewId="0">
      <selection activeCell="E2" sqref="E2"/>
    </sheetView>
  </sheetViews>
  <sheetFormatPr defaultColWidth="11" defaultRowHeight="15.75" customHeight="1"/>
  <sheetData>
    <row r="1" spans="1:6" ht="48.7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spans="1:6">
      <c r="A2" s="19" t="s">
        <v>6</v>
      </c>
      <c r="B2" s="7" t="s">
        <v>7</v>
      </c>
      <c r="C2" s="7">
        <v>1</v>
      </c>
      <c r="D2" s="7">
        <v>0</v>
      </c>
      <c r="E2" s="19">
        <f>SUM(C2:D4)</f>
        <v>542</v>
      </c>
      <c r="F2" s="19">
        <v>42</v>
      </c>
    </row>
    <row r="3" spans="1:6">
      <c r="A3" s="20"/>
      <c r="B3" s="7" t="s">
        <v>8</v>
      </c>
      <c r="C3" s="7">
        <v>0</v>
      </c>
      <c r="D3" s="7">
        <v>0</v>
      </c>
      <c r="E3" s="20"/>
      <c r="F3" s="20"/>
    </row>
    <row r="4" spans="1:6">
      <c r="A4" s="21"/>
      <c r="B4" s="7" t="s">
        <v>9</v>
      </c>
      <c r="C4" s="7">
        <v>478</v>
      </c>
      <c r="D4" s="7">
        <v>63</v>
      </c>
      <c r="E4" s="21"/>
      <c r="F4" s="21"/>
    </row>
    <row r="5" spans="1:6">
      <c r="A5" s="19" t="s">
        <v>10</v>
      </c>
      <c r="B5" s="7" t="s">
        <v>7</v>
      </c>
      <c r="C5" s="7">
        <v>14</v>
      </c>
      <c r="D5" s="7">
        <v>0</v>
      </c>
      <c r="E5" s="19">
        <f>SUM(C5:D7)</f>
        <v>143</v>
      </c>
      <c r="F5" s="19">
        <v>24</v>
      </c>
    </row>
    <row r="6" spans="1:6">
      <c r="A6" s="20"/>
      <c r="B6" s="7" t="s">
        <v>8</v>
      </c>
      <c r="C6" s="7">
        <v>0</v>
      </c>
      <c r="D6" s="7">
        <v>0</v>
      </c>
      <c r="E6" s="20"/>
      <c r="F6" s="20"/>
    </row>
    <row r="7" spans="1:6">
      <c r="A7" s="21"/>
      <c r="B7" s="7" t="s">
        <v>9</v>
      </c>
      <c r="C7" s="7">
        <v>117</v>
      </c>
      <c r="D7" s="7">
        <v>12</v>
      </c>
      <c r="E7" s="21"/>
      <c r="F7" s="21"/>
    </row>
    <row r="8" spans="1:6">
      <c r="A8" s="19" t="s">
        <v>11</v>
      </c>
      <c r="B8" s="7" t="s">
        <v>7</v>
      </c>
      <c r="C8" s="7">
        <v>51</v>
      </c>
      <c r="D8" s="7">
        <v>13</v>
      </c>
      <c r="E8" s="19">
        <f t="shared" ref="E8" si="0">SUM(C8:D10)</f>
        <v>229</v>
      </c>
      <c r="F8" s="19">
        <v>50</v>
      </c>
    </row>
    <row r="9" spans="1:6">
      <c r="A9" s="20"/>
      <c r="B9" s="7" t="s">
        <v>8</v>
      </c>
      <c r="C9" s="7">
        <v>0</v>
      </c>
      <c r="D9" s="7">
        <v>0</v>
      </c>
      <c r="E9" s="20"/>
      <c r="F9" s="20"/>
    </row>
    <row r="10" spans="1:6">
      <c r="A10" s="21"/>
      <c r="B10" s="7" t="s">
        <v>9</v>
      </c>
      <c r="C10" s="7">
        <v>140</v>
      </c>
      <c r="D10" s="7">
        <v>25</v>
      </c>
      <c r="E10" s="21"/>
      <c r="F10" s="21"/>
    </row>
    <row r="11" spans="1:6">
      <c r="A11" s="19" t="s">
        <v>12</v>
      </c>
      <c r="B11" s="7" t="s">
        <v>7</v>
      </c>
      <c r="C11" s="7">
        <v>244</v>
      </c>
      <c r="D11" s="7">
        <v>7</v>
      </c>
      <c r="E11" s="19">
        <f t="shared" ref="E11" si="1">SUM(C11:D13)</f>
        <v>1976</v>
      </c>
      <c r="F11" s="19">
        <v>148</v>
      </c>
    </row>
    <row r="12" spans="1:6">
      <c r="A12" s="20"/>
      <c r="B12" s="7" t="s">
        <v>8</v>
      </c>
      <c r="C12" s="7">
        <v>0</v>
      </c>
      <c r="D12" s="7">
        <v>0</v>
      </c>
      <c r="E12" s="20"/>
      <c r="F12" s="20"/>
    </row>
    <row r="13" spans="1:6">
      <c r="A13" s="21"/>
      <c r="B13" s="7" t="s">
        <v>9</v>
      </c>
      <c r="C13" s="7">
        <v>1624</v>
      </c>
      <c r="D13" s="7">
        <v>101</v>
      </c>
      <c r="E13" s="21"/>
      <c r="F13" s="21"/>
    </row>
  </sheetData>
  <mergeCells count="12">
    <mergeCell ref="A2:A4"/>
    <mergeCell ref="E2:E4"/>
    <mergeCell ref="F2:F4"/>
    <mergeCell ref="A5:A7"/>
    <mergeCell ref="E5:E7"/>
    <mergeCell ref="F5:F7"/>
    <mergeCell ref="A8:A10"/>
    <mergeCell ref="E8:E10"/>
    <mergeCell ref="F8:F10"/>
    <mergeCell ref="A11:A13"/>
    <mergeCell ref="E11:E13"/>
    <mergeCell ref="F11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5C99-FA28-E943-A7C5-BCEA48B576BF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13</v>
      </c>
    </row>
    <row r="2" spans="1:6">
      <c r="A2" s="19" t="s">
        <v>6</v>
      </c>
      <c r="B2" s="7" t="s">
        <v>7</v>
      </c>
      <c r="C2" s="7">
        <v>3</v>
      </c>
      <c r="D2" s="7">
        <v>1</v>
      </c>
      <c r="E2" s="19">
        <f>SUM(C2:D4)</f>
        <v>447</v>
      </c>
      <c r="F2" s="19">
        <v>43</v>
      </c>
    </row>
    <row r="3" spans="1:6">
      <c r="A3" s="20"/>
      <c r="B3" s="7" t="s">
        <v>8</v>
      </c>
      <c r="C3" s="7">
        <v>0</v>
      </c>
      <c r="D3" s="7">
        <v>0</v>
      </c>
      <c r="E3" s="20"/>
      <c r="F3" s="20"/>
    </row>
    <row r="4" spans="1:6">
      <c r="A4" s="21"/>
      <c r="B4" s="7" t="s">
        <v>9</v>
      </c>
      <c r="C4" s="7">
        <v>376</v>
      </c>
      <c r="D4" s="7">
        <v>67</v>
      </c>
      <c r="E4" s="21"/>
      <c r="F4" s="21"/>
    </row>
    <row r="5" spans="1:6">
      <c r="A5" s="19" t="s">
        <v>10</v>
      </c>
      <c r="B5" s="7" t="s">
        <v>7</v>
      </c>
      <c r="C5" s="7">
        <v>45</v>
      </c>
      <c r="D5" s="7">
        <v>8</v>
      </c>
      <c r="E5" s="19">
        <f t="shared" ref="E5" si="0">SUM(C5:D7)</f>
        <v>344</v>
      </c>
      <c r="F5" s="19">
        <v>32</v>
      </c>
    </row>
    <row r="6" spans="1:6">
      <c r="A6" s="20"/>
      <c r="B6" s="7" t="s">
        <v>8</v>
      </c>
      <c r="C6" s="7">
        <v>0</v>
      </c>
      <c r="D6" s="7">
        <v>0</v>
      </c>
      <c r="E6" s="20"/>
      <c r="F6" s="20"/>
    </row>
    <row r="7" spans="1:6">
      <c r="A7" s="21"/>
      <c r="B7" s="7" t="s">
        <v>9</v>
      </c>
      <c r="C7" s="7">
        <v>277</v>
      </c>
      <c r="D7" s="7">
        <v>14</v>
      </c>
      <c r="E7" s="21"/>
      <c r="F7" s="21"/>
    </row>
    <row r="8" spans="1:6">
      <c r="A8" s="19" t="s">
        <v>11</v>
      </c>
      <c r="B8" s="7" t="s">
        <v>7</v>
      </c>
      <c r="C8" s="7">
        <v>34</v>
      </c>
      <c r="D8" s="7">
        <v>6</v>
      </c>
      <c r="E8" s="19">
        <f t="shared" ref="E8" si="1">SUM(C8:D10)</f>
        <v>107</v>
      </c>
      <c r="F8" s="19">
        <v>47</v>
      </c>
    </row>
    <row r="9" spans="1:6">
      <c r="A9" s="20"/>
      <c r="B9" s="7" t="s">
        <v>8</v>
      </c>
      <c r="C9" s="7">
        <v>0</v>
      </c>
      <c r="D9" s="7">
        <v>0</v>
      </c>
      <c r="E9" s="20"/>
      <c r="F9" s="20"/>
    </row>
    <row r="10" spans="1:6">
      <c r="A10" s="21"/>
      <c r="B10" s="7" t="s">
        <v>9</v>
      </c>
      <c r="C10" s="7">
        <v>55</v>
      </c>
      <c r="D10" s="7">
        <v>12</v>
      </c>
      <c r="E10" s="21"/>
      <c r="F10" s="21"/>
    </row>
    <row r="11" spans="1:6">
      <c r="A11" s="19" t="s">
        <v>12</v>
      </c>
      <c r="B11" s="7" t="s">
        <v>7</v>
      </c>
      <c r="C11" s="7">
        <v>62</v>
      </c>
      <c r="D11" s="7">
        <v>21</v>
      </c>
      <c r="E11" s="19">
        <f t="shared" ref="E11" si="2">SUM(C11:D13)</f>
        <v>222</v>
      </c>
      <c r="F11" s="19">
        <v>111</v>
      </c>
    </row>
    <row r="12" spans="1:6">
      <c r="A12" s="20"/>
      <c r="B12" s="7" t="s">
        <v>8</v>
      </c>
      <c r="C12" s="7">
        <v>0</v>
      </c>
      <c r="D12" s="7">
        <v>0</v>
      </c>
      <c r="E12" s="20"/>
      <c r="F12" s="20"/>
    </row>
    <row r="13" spans="1:6">
      <c r="A13" s="21"/>
      <c r="B13" s="7" t="s">
        <v>9</v>
      </c>
      <c r="C13" s="7">
        <v>121</v>
      </c>
      <c r="D13" s="7">
        <v>18</v>
      </c>
      <c r="E13" s="21"/>
      <c r="F13" s="21"/>
    </row>
  </sheetData>
  <mergeCells count="12">
    <mergeCell ref="A2:A4"/>
    <mergeCell ref="E2:E4"/>
    <mergeCell ref="F2:F4"/>
    <mergeCell ref="A5:A7"/>
    <mergeCell ref="E5:E7"/>
    <mergeCell ref="F5:F7"/>
    <mergeCell ref="A8:A10"/>
    <mergeCell ref="E8:E10"/>
    <mergeCell ref="F8:F10"/>
    <mergeCell ref="A11:A13"/>
    <mergeCell ref="E11:E13"/>
    <mergeCell ref="F11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9EA3-8535-8446-BFD3-7A6155060309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9" t="s">
        <v>5</v>
      </c>
    </row>
    <row r="2" spans="1:6">
      <c r="A2" s="22" t="s">
        <v>6</v>
      </c>
      <c r="B2" s="4" t="s">
        <v>7</v>
      </c>
      <c r="C2" s="4">
        <v>2</v>
      </c>
      <c r="D2" s="4">
        <v>1</v>
      </c>
      <c r="E2" s="38">
        <f>SUM(C2:D4)</f>
        <v>897</v>
      </c>
      <c r="F2" s="38">
        <v>45</v>
      </c>
    </row>
    <row r="3" spans="1:6">
      <c r="A3" s="22"/>
      <c r="B3" s="4" t="s">
        <v>8</v>
      </c>
      <c r="C3" s="4">
        <v>0</v>
      </c>
      <c r="D3" s="4">
        <v>0</v>
      </c>
      <c r="E3" s="38"/>
      <c r="F3" s="38"/>
    </row>
    <row r="4" spans="1:6">
      <c r="A4" s="22"/>
      <c r="B4" s="4" t="s">
        <v>9</v>
      </c>
      <c r="C4" s="4">
        <v>799</v>
      </c>
      <c r="D4" s="4">
        <v>95</v>
      </c>
      <c r="E4" s="38"/>
      <c r="F4" s="38"/>
    </row>
    <row r="5" spans="1:6">
      <c r="A5" s="22" t="s">
        <v>10</v>
      </c>
      <c r="B5" s="4" t="s">
        <v>7</v>
      </c>
      <c r="C5" s="4">
        <v>29</v>
      </c>
      <c r="D5" s="4">
        <v>2</v>
      </c>
      <c r="E5" s="38">
        <f t="shared" ref="E5" si="0">SUM(C5:D7)</f>
        <v>127</v>
      </c>
      <c r="F5" s="38">
        <v>24</v>
      </c>
    </row>
    <row r="6" spans="1:6">
      <c r="A6" s="22"/>
      <c r="B6" s="4" t="s">
        <v>8</v>
      </c>
      <c r="C6" s="4">
        <v>0</v>
      </c>
      <c r="D6" s="4">
        <v>0</v>
      </c>
      <c r="E6" s="38"/>
      <c r="F6" s="38"/>
    </row>
    <row r="7" spans="1:6">
      <c r="A7" s="22"/>
      <c r="B7" s="4" t="s">
        <v>9</v>
      </c>
      <c r="C7" s="4">
        <v>89</v>
      </c>
      <c r="D7" s="4">
        <v>7</v>
      </c>
      <c r="E7" s="38"/>
      <c r="F7" s="38"/>
    </row>
    <row r="8" spans="1:6">
      <c r="A8" s="22" t="s">
        <v>11</v>
      </c>
      <c r="B8" s="4" t="s">
        <v>7</v>
      </c>
      <c r="C8" s="4">
        <v>11</v>
      </c>
      <c r="D8" s="4">
        <v>8</v>
      </c>
      <c r="E8" s="38">
        <f t="shared" ref="E8" si="1">SUM(C8:D10)</f>
        <v>30</v>
      </c>
      <c r="F8" s="38">
        <v>28</v>
      </c>
    </row>
    <row r="9" spans="1:6">
      <c r="A9" s="22"/>
      <c r="B9" s="4" t="s">
        <v>8</v>
      </c>
      <c r="C9" s="4">
        <v>0</v>
      </c>
      <c r="D9" s="4">
        <v>0</v>
      </c>
      <c r="E9" s="38"/>
      <c r="F9" s="38"/>
    </row>
    <row r="10" spans="1:6">
      <c r="A10" s="22"/>
      <c r="B10" s="4" t="s">
        <v>9</v>
      </c>
      <c r="C10" s="4">
        <v>7</v>
      </c>
      <c r="D10" s="4">
        <v>4</v>
      </c>
      <c r="E10" s="38"/>
      <c r="F10" s="38"/>
    </row>
    <row r="11" spans="1:6">
      <c r="A11" s="22" t="s">
        <v>12</v>
      </c>
      <c r="B11" s="4" t="s">
        <v>7</v>
      </c>
      <c r="C11" s="4">
        <v>112</v>
      </c>
      <c r="D11" s="4">
        <v>23</v>
      </c>
      <c r="E11" s="38">
        <f t="shared" ref="E11" si="2">SUM(C11:D13)</f>
        <v>440</v>
      </c>
      <c r="F11" s="38">
        <v>87</v>
      </c>
    </row>
    <row r="12" spans="1:6">
      <c r="A12" s="22"/>
      <c r="B12" s="4" t="s">
        <v>8</v>
      </c>
      <c r="C12" s="4">
        <v>0</v>
      </c>
      <c r="D12" s="4">
        <v>0</v>
      </c>
      <c r="E12" s="38"/>
      <c r="F12" s="38"/>
    </row>
    <row r="13" spans="1:6">
      <c r="A13" s="22"/>
      <c r="B13" s="4" t="s">
        <v>9</v>
      </c>
      <c r="C13" s="4">
        <v>267</v>
      </c>
      <c r="D13" s="4">
        <v>38</v>
      </c>
      <c r="E13" s="38"/>
      <c r="F13" s="38"/>
    </row>
  </sheetData>
  <mergeCells count="12">
    <mergeCell ref="E11:E13"/>
    <mergeCell ref="F11:F13"/>
    <mergeCell ref="A2:A4"/>
    <mergeCell ref="A5:A7"/>
    <mergeCell ref="A8:A10"/>
    <mergeCell ref="A11:A13"/>
    <mergeCell ref="E2:E4"/>
    <mergeCell ref="F2:F4"/>
    <mergeCell ref="E5:E7"/>
    <mergeCell ref="F5:F7"/>
    <mergeCell ref="E8:E10"/>
    <mergeCell ref="F8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7C87-A4D2-7D40-B100-2C2CD6DC5CD0}">
  <dimension ref="A1:F16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0" t="s">
        <v>5</v>
      </c>
    </row>
    <row r="2" spans="1:6">
      <c r="A2" s="28" t="s">
        <v>6</v>
      </c>
      <c r="B2" s="4" t="s">
        <v>7</v>
      </c>
      <c r="C2" s="4">
        <v>4</v>
      </c>
      <c r="D2" s="4">
        <v>0</v>
      </c>
      <c r="E2" s="31">
        <f>SUM(C2:D4)</f>
        <v>860</v>
      </c>
      <c r="F2" s="19">
        <v>43</v>
      </c>
    </row>
    <row r="3" spans="1:6">
      <c r="A3" s="29"/>
      <c r="B3" s="4" t="s">
        <v>8</v>
      </c>
      <c r="C3" s="4">
        <v>0</v>
      </c>
      <c r="D3" s="4">
        <v>0</v>
      </c>
      <c r="E3" s="32"/>
      <c r="F3" s="20"/>
    </row>
    <row r="4" spans="1:6">
      <c r="A4" s="30"/>
      <c r="B4" s="4" t="s">
        <v>9</v>
      </c>
      <c r="C4" s="4">
        <v>779</v>
      </c>
      <c r="D4" s="4">
        <v>77</v>
      </c>
      <c r="E4" s="33"/>
      <c r="F4" s="21"/>
    </row>
    <row r="5" spans="1:6">
      <c r="A5" s="28" t="s">
        <v>10</v>
      </c>
      <c r="B5" s="4" t="s">
        <v>7</v>
      </c>
      <c r="C5" s="4">
        <v>12</v>
      </c>
      <c r="D5" s="4">
        <v>0</v>
      </c>
      <c r="E5" s="31">
        <f t="shared" ref="E5" si="0">SUM(C5:D7)</f>
        <v>109</v>
      </c>
      <c r="F5" s="19">
        <v>29</v>
      </c>
    </row>
    <row r="6" spans="1:6">
      <c r="A6" s="29"/>
      <c r="B6" s="4" t="s">
        <v>8</v>
      </c>
      <c r="C6" s="4">
        <v>0</v>
      </c>
      <c r="D6" s="4">
        <v>0</v>
      </c>
      <c r="E6" s="32"/>
      <c r="F6" s="20"/>
    </row>
    <row r="7" spans="1:6">
      <c r="A7" s="30"/>
      <c r="B7" s="4" t="s">
        <v>9</v>
      </c>
      <c r="C7" s="4">
        <v>89</v>
      </c>
      <c r="D7" s="4">
        <v>8</v>
      </c>
      <c r="E7" s="33"/>
      <c r="F7" s="21"/>
    </row>
    <row r="8" spans="1:6">
      <c r="A8" s="28" t="s">
        <v>11</v>
      </c>
      <c r="B8" s="4" t="s">
        <v>7</v>
      </c>
      <c r="C8" s="4">
        <v>70</v>
      </c>
      <c r="D8" s="4">
        <v>11</v>
      </c>
      <c r="E8" s="31">
        <f t="shared" ref="E8" si="1">SUM(C8:D10)</f>
        <v>107</v>
      </c>
      <c r="F8" s="19">
        <v>38</v>
      </c>
    </row>
    <row r="9" spans="1:6">
      <c r="A9" s="29"/>
      <c r="B9" s="4" t="s">
        <v>8</v>
      </c>
      <c r="C9" s="4">
        <v>0</v>
      </c>
      <c r="D9" s="4">
        <v>0</v>
      </c>
      <c r="E9" s="32"/>
      <c r="F9" s="20"/>
    </row>
    <row r="10" spans="1:6">
      <c r="A10" s="30"/>
      <c r="B10" s="4" t="s">
        <v>9</v>
      </c>
      <c r="C10" s="4">
        <v>19</v>
      </c>
      <c r="D10" s="4">
        <v>7</v>
      </c>
      <c r="E10" s="32"/>
      <c r="F10" s="21"/>
    </row>
    <row r="11" spans="1:6">
      <c r="A11" s="28" t="s">
        <v>12</v>
      </c>
      <c r="B11" s="4" t="s">
        <v>7</v>
      </c>
      <c r="C11" s="4">
        <v>75</v>
      </c>
      <c r="D11" s="16">
        <v>8</v>
      </c>
      <c r="E11" s="24">
        <f t="shared" ref="E11" si="2">SUM(C11:D13)</f>
        <v>304</v>
      </c>
      <c r="F11" s="25">
        <v>103</v>
      </c>
    </row>
    <row r="12" spans="1:6">
      <c r="A12" s="29"/>
      <c r="B12" s="4" t="s">
        <v>8</v>
      </c>
      <c r="C12" s="4">
        <v>0</v>
      </c>
      <c r="D12" s="16">
        <v>0</v>
      </c>
      <c r="E12" s="24"/>
      <c r="F12" s="26"/>
    </row>
    <row r="13" spans="1:6">
      <c r="A13" s="30"/>
      <c r="B13" s="4" t="s">
        <v>9</v>
      </c>
      <c r="C13" s="4">
        <v>200</v>
      </c>
      <c r="D13" s="16">
        <v>21</v>
      </c>
      <c r="E13" s="24"/>
      <c r="F13" s="27"/>
    </row>
    <row r="14" spans="1:6" ht="15.75" customHeight="1">
      <c r="E14" s="23"/>
    </row>
    <row r="15" spans="1:6" ht="15.75" customHeight="1">
      <c r="E15" s="23"/>
    </row>
    <row r="16" spans="1:6" ht="15.75" customHeight="1">
      <c r="E16" s="23"/>
    </row>
  </sheetData>
  <mergeCells count="13">
    <mergeCell ref="E14:E16"/>
    <mergeCell ref="E11:E13"/>
    <mergeCell ref="F11:F13"/>
    <mergeCell ref="A2:A4"/>
    <mergeCell ref="A5:A7"/>
    <mergeCell ref="A8:A10"/>
    <mergeCell ref="A11:A13"/>
    <mergeCell ref="E2:E4"/>
    <mergeCell ref="F2:F4"/>
    <mergeCell ref="E5:E7"/>
    <mergeCell ref="F5:F7"/>
    <mergeCell ref="E8:E10"/>
    <mergeCell ref="F8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4932-F078-AF4B-8760-213D740F237E}">
  <dimension ref="A1:F13"/>
  <sheetViews>
    <sheetView workbookViewId="0">
      <selection activeCell="E2" sqref="E2:E4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>
      <c r="A2" s="28" t="s">
        <v>6</v>
      </c>
      <c r="B2" s="4" t="s">
        <v>7</v>
      </c>
      <c r="C2" s="4">
        <v>2</v>
      </c>
      <c r="D2" s="4">
        <v>2</v>
      </c>
      <c r="E2" s="34">
        <f>SUM(C2:D4)</f>
        <v>492</v>
      </c>
      <c r="F2" s="19">
        <v>42</v>
      </c>
    </row>
    <row r="3" spans="1:6">
      <c r="A3" s="29"/>
      <c r="B3" s="4" t="s">
        <v>8</v>
      </c>
      <c r="C3" s="4">
        <v>0</v>
      </c>
      <c r="D3" s="4">
        <v>0</v>
      </c>
      <c r="E3" s="32"/>
      <c r="F3" s="20"/>
    </row>
    <row r="4" spans="1:6">
      <c r="A4" s="30"/>
      <c r="B4" s="4" t="s">
        <v>9</v>
      </c>
      <c r="C4" s="4">
        <v>440</v>
      </c>
      <c r="D4" s="4">
        <v>48</v>
      </c>
      <c r="E4" s="35"/>
      <c r="F4" s="21"/>
    </row>
    <row r="5" spans="1:6">
      <c r="A5" s="28" t="s">
        <v>10</v>
      </c>
      <c r="B5" s="4" t="s">
        <v>7</v>
      </c>
      <c r="C5" s="4">
        <v>23</v>
      </c>
      <c r="D5" s="4">
        <v>1</v>
      </c>
      <c r="E5" s="34">
        <f t="shared" ref="E5" si="0">SUM(C5:D7)</f>
        <v>158</v>
      </c>
      <c r="F5" s="19">
        <v>22</v>
      </c>
    </row>
    <row r="6" spans="1:6">
      <c r="A6" s="29"/>
      <c r="B6" s="4" t="s">
        <v>8</v>
      </c>
      <c r="C6" s="4">
        <v>0</v>
      </c>
      <c r="D6" s="4">
        <v>0</v>
      </c>
      <c r="E6" s="32"/>
      <c r="F6" s="20"/>
    </row>
    <row r="7" spans="1:6">
      <c r="A7" s="30"/>
      <c r="B7" s="4" t="s">
        <v>9</v>
      </c>
      <c r="C7" s="4">
        <v>126</v>
      </c>
      <c r="D7" s="4">
        <v>8</v>
      </c>
      <c r="E7" s="35"/>
      <c r="F7" s="21"/>
    </row>
    <row r="8" spans="1:6">
      <c r="A8" s="28" t="s">
        <v>11</v>
      </c>
      <c r="B8" s="4" t="s">
        <v>7</v>
      </c>
      <c r="C8" s="4">
        <v>20</v>
      </c>
      <c r="D8" s="4">
        <v>5</v>
      </c>
      <c r="E8" s="34">
        <f t="shared" ref="E8" si="1">SUM(C8:D10)</f>
        <v>42</v>
      </c>
      <c r="F8" s="19">
        <v>27</v>
      </c>
    </row>
    <row r="9" spans="1:6">
      <c r="A9" s="29"/>
      <c r="B9" s="4" t="s">
        <v>8</v>
      </c>
      <c r="C9" s="4">
        <v>0</v>
      </c>
      <c r="D9" s="4">
        <v>0</v>
      </c>
      <c r="E9" s="32"/>
      <c r="F9" s="20"/>
    </row>
    <row r="10" spans="1:6">
      <c r="A10" s="30"/>
      <c r="B10" s="4" t="s">
        <v>9</v>
      </c>
      <c r="C10" s="4">
        <v>15</v>
      </c>
      <c r="D10" s="4">
        <v>2</v>
      </c>
      <c r="E10" s="35"/>
      <c r="F10" s="21"/>
    </row>
    <row r="11" spans="1:6">
      <c r="A11" s="28" t="s">
        <v>12</v>
      </c>
      <c r="B11" s="4" t="s">
        <v>7</v>
      </c>
      <c r="C11" s="4">
        <v>47</v>
      </c>
      <c r="D11" s="4">
        <v>4</v>
      </c>
      <c r="E11" s="34">
        <f t="shared" ref="E11" si="2">SUM(C11:D13)</f>
        <v>415</v>
      </c>
      <c r="F11" s="19">
        <v>121</v>
      </c>
    </row>
    <row r="12" spans="1:6">
      <c r="A12" s="29"/>
      <c r="B12" s="4" t="s">
        <v>8</v>
      </c>
      <c r="C12" s="4">
        <v>0</v>
      </c>
      <c r="D12" s="4">
        <v>0</v>
      </c>
      <c r="E12" s="32"/>
      <c r="F12" s="20"/>
    </row>
    <row r="13" spans="1:6">
      <c r="A13" s="30"/>
      <c r="B13" s="4" t="s">
        <v>9</v>
      </c>
      <c r="C13" s="4">
        <v>323</v>
      </c>
      <c r="D13" s="4">
        <v>41</v>
      </c>
      <c r="E13" s="35"/>
      <c r="F13" s="21"/>
    </row>
  </sheetData>
  <mergeCells count="12">
    <mergeCell ref="A11:A13"/>
    <mergeCell ref="E11:E13"/>
    <mergeCell ref="F2:F4"/>
    <mergeCell ref="F5:F7"/>
    <mergeCell ref="F8:F10"/>
    <mergeCell ref="F11:F13"/>
    <mergeCell ref="A2:A4"/>
    <mergeCell ref="E2:E4"/>
    <mergeCell ref="A5:A7"/>
    <mergeCell ref="E5:E7"/>
    <mergeCell ref="A8:A10"/>
    <mergeCell ref="E8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2C62-1A17-E246-8F07-F0D5B5241294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>
      <c r="A2" s="28" t="s">
        <v>6</v>
      </c>
      <c r="B2" s="4" t="s">
        <v>7</v>
      </c>
      <c r="C2" s="4">
        <v>3</v>
      </c>
      <c r="D2" s="4">
        <v>0</v>
      </c>
      <c r="E2" s="34">
        <f>SUM(C2:D4)</f>
        <v>607</v>
      </c>
      <c r="F2" s="19">
        <v>47</v>
      </c>
    </row>
    <row r="3" spans="1:6">
      <c r="A3" s="29"/>
      <c r="B3" s="4" t="s">
        <v>8</v>
      </c>
      <c r="C3" s="4">
        <v>0</v>
      </c>
      <c r="D3" s="4">
        <v>0</v>
      </c>
      <c r="E3" s="32"/>
      <c r="F3" s="20"/>
    </row>
    <row r="4" spans="1:6">
      <c r="A4" s="30"/>
      <c r="B4" s="4" t="s">
        <v>9</v>
      </c>
      <c r="C4" s="4">
        <v>550</v>
      </c>
      <c r="D4" s="4">
        <v>54</v>
      </c>
      <c r="E4" s="35"/>
      <c r="F4" s="21"/>
    </row>
    <row r="5" spans="1:6">
      <c r="A5" s="28" t="s">
        <v>10</v>
      </c>
      <c r="B5" s="4" t="s">
        <v>7</v>
      </c>
      <c r="C5" s="4">
        <v>15</v>
      </c>
      <c r="D5" s="4">
        <v>0</v>
      </c>
      <c r="E5" s="34">
        <f t="shared" ref="E5" si="0">SUM(C5:D7)</f>
        <v>72</v>
      </c>
      <c r="F5" s="19">
        <v>24</v>
      </c>
    </row>
    <row r="6" spans="1:6">
      <c r="A6" s="29"/>
      <c r="B6" s="4" t="s">
        <v>8</v>
      </c>
      <c r="C6" s="4">
        <v>0</v>
      </c>
      <c r="D6" s="4">
        <v>0</v>
      </c>
      <c r="E6" s="32"/>
      <c r="F6" s="20"/>
    </row>
    <row r="7" spans="1:6">
      <c r="A7" s="30"/>
      <c r="B7" s="4" t="s">
        <v>9</v>
      </c>
      <c r="C7" s="4">
        <v>53</v>
      </c>
      <c r="D7" s="4">
        <v>4</v>
      </c>
      <c r="E7" s="35"/>
      <c r="F7" s="21"/>
    </row>
    <row r="8" spans="1:6">
      <c r="A8" s="28" t="s">
        <v>11</v>
      </c>
      <c r="B8" s="4" t="s">
        <v>7</v>
      </c>
      <c r="C8" s="4">
        <v>24</v>
      </c>
      <c r="D8" s="4">
        <v>3</v>
      </c>
      <c r="E8" s="34">
        <f t="shared" ref="E8" si="1">SUM(C8:D10)</f>
        <v>48</v>
      </c>
      <c r="F8" s="19">
        <v>21</v>
      </c>
    </row>
    <row r="9" spans="1:6">
      <c r="A9" s="29"/>
      <c r="B9" s="4" t="s">
        <v>8</v>
      </c>
      <c r="C9" s="4">
        <v>0</v>
      </c>
      <c r="D9" s="4">
        <v>0</v>
      </c>
      <c r="E9" s="32"/>
      <c r="F9" s="20"/>
    </row>
    <row r="10" spans="1:6">
      <c r="A10" s="30"/>
      <c r="B10" s="4" t="s">
        <v>9</v>
      </c>
      <c r="C10" s="4">
        <v>18</v>
      </c>
      <c r="D10" s="4">
        <v>3</v>
      </c>
      <c r="E10" s="35"/>
      <c r="F10" s="21"/>
    </row>
    <row r="11" spans="1:6">
      <c r="A11" s="28" t="s">
        <v>12</v>
      </c>
      <c r="B11" s="4" t="s">
        <v>7</v>
      </c>
      <c r="C11" s="4">
        <v>20</v>
      </c>
      <c r="D11" s="4">
        <v>4</v>
      </c>
      <c r="E11" s="34">
        <f t="shared" ref="E11" si="2">SUM(C11:D13)</f>
        <v>149</v>
      </c>
      <c r="F11" s="19">
        <v>52</v>
      </c>
    </row>
    <row r="12" spans="1:6">
      <c r="A12" s="29"/>
      <c r="B12" s="4" t="s">
        <v>8</v>
      </c>
      <c r="C12" s="4">
        <v>0</v>
      </c>
      <c r="D12" s="4">
        <v>0</v>
      </c>
      <c r="E12" s="32"/>
      <c r="F12" s="20"/>
    </row>
    <row r="13" spans="1:6">
      <c r="A13" s="30"/>
      <c r="B13" s="4" t="s">
        <v>9</v>
      </c>
      <c r="C13" s="4">
        <v>115</v>
      </c>
      <c r="D13" s="4">
        <v>10</v>
      </c>
      <c r="E13" s="35"/>
      <c r="F13" s="21"/>
    </row>
  </sheetData>
  <mergeCells count="12">
    <mergeCell ref="A11:A13"/>
    <mergeCell ref="E11:E13"/>
    <mergeCell ref="F2:F4"/>
    <mergeCell ref="F5:F7"/>
    <mergeCell ref="F8:F10"/>
    <mergeCell ref="F11:F13"/>
    <mergeCell ref="A2:A4"/>
    <mergeCell ref="E2:E4"/>
    <mergeCell ref="A5:A7"/>
    <mergeCell ref="E5:E7"/>
    <mergeCell ref="A8:A10"/>
    <mergeCell ref="E8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8E76-83FF-CC4C-AB94-9D4F9E99469B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>
      <c r="A2" s="28" t="s">
        <v>6</v>
      </c>
      <c r="B2" s="4" t="s">
        <v>7</v>
      </c>
      <c r="C2" s="4">
        <v>5</v>
      </c>
      <c r="D2" s="4">
        <v>0</v>
      </c>
      <c r="E2" s="34">
        <f>SUM(C2:D4)</f>
        <v>244</v>
      </c>
      <c r="F2" s="19">
        <v>42</v>
      </c>
    </row>
    <row r="3" spans="1:6">
      <c r="A3" s="29"/>
      <c r="B3" s="4" t="s">
        <v>8</v>
      </c>
      <c r="C3" s="4">
        <v>0</v>
      </c>
      <c r="D3" s="4">
        <v>0</v>
      </c>
      <c r="E3" s="32"/>
      <c r="F3" s="20"/>
    </row>
    <row r="4" spans="1:6">
      <c r="A4" s="30"/>
      <c r="B4" s="4" t="s">
        <v>9</v>
      </c>
      <c r="C4" s="4">
        <v>212</v>
      </c>
      <c r="D4" s="4">
        <v>27</v>
      </c>
      <c r="E4" s="35"/>
      <c r="F4" s="21"/>
    </row>
    <row r="5" spans="1:6">
      <c r="A5" s="28" t="s">
        <v>10</v>
      </c>
      <c r="B5" s="4" t="s">
        <v>7</v>
      </c>
      <c r="C5" s="4">
        <v>35</v>
      </c>
      <c r="D5" s="4">
        <v>2</v>
      </c>
      <c r="E5" s="34">
        <f t="shared" ref="E5" si="0">SUM(C5:D7)</f>
        <v>100</v>
      </c>
      <c r="F5" s="19">
        <v>20</v>
      </c>
    </row>
    <row r="6" spans="1:6">
      <c r="A6" s="29"/>
      <c r="B6" s="4" t="s">
        <v>8</v>
      </c>
      <c r="C6" s="4">
        <v>0</v>
      </c>
      <c r="D6" s="4">
        <v>0</v>
      </c>
      <c r="E6" s="32"/>
      <c r="F6" s="20"/>
    </row>
    <row r="7" spans="1:6">
      <c r="A7" s="30"/>
      <c r="B7" s="4" t="s">
        <v>9</v>
      </c>
      <c r="C7" s="4">
        <v>61</v>
      </c>
      <c r="D7" s="4">
        <v>2</v>
      </c>
      <c r="E7" s="35"/>
      <c r="F7" s="21"/>
    </row>
    <row r="8" spans="1:6">
      <c r="A8" s="28" t="s">
        <v>11</v>
      </c>
      <c r="B8" s="4" t="s">
        <v>7</v>
      </c>
      <c r="C8" s="4">
        <v>13</v>
      </c>
      <c r="D8" s="4">
        <v>3</v>
      </c>
      <c r="E8" s="34">
        <f t="shared" ref="E8" si="1">SUM(C8:D10)</f>
        <v>24</v>
      </c>
      <c r="F8" s="19">
        <v>20</v>
      </c>
    </row>
    <row r="9" spans="1:6">
      <c r="A9" s="29"/>
      <c r="B9" s="4" t="s">
        <v>8</v>
      </c>
      <c r="C9" s="4">
        <v>0</v>
      </c>
      <c r="D9" s="4">
        <v>0</v>
      </c>
      <c r="E9" s="32"/>
      <c r="F9" s="20"/>
    </row>
    <row r="10" spans="1:6">
      <c r="A10" s="30"/>
      <c r="B10" s="4" t="s">
        <v>9</v>
      </c>
      <c r="C10" s="4">
        <v>5</v>
      </c>
      <c r="D10" s="4">
        <v>3</v>
      </c>
      <c r="E10" s="35"/>
      <c r="F10" s="21"/>
    </row>
    <row r="11" spans="1:6">
      <c r="A11" s="28" t="s">
        <v>12</v>
      </c>
      <c r="B11" s="4" t="s">
        <v>7</v>
      </c>
      <c r="C11" s="4">
        <v>29</v>
      </c>
      <c r="D11" s="4">
        <v>2</v>
      </c>
      <c r="E11" s="34">
        <f t="shared" ref="E11" si="2">SUM(C11:D13)</f>
        <v>170</v>
      </c>
      <c r="F11" s="19">
        <v>58</v>
      </c>
    </row>
    <row r="12" spans="1:6">
      <c r="A12" s="29"/>
      <c r="B12" s="4" t="s">
        <v>8</v>
      </c>
      <c r="C12" s="4">
        <v>0</v>
      </c>
      <c r="D12" s="4">
        <v>0</v>
      </c>
      <c r="E12" s="32"/>
      <c r="F12" s="20"/>
    </row>
    <row r="13" spans="1:6">
      <c r="A13" s="30"/>
      <c r="B13" s="4" t="s">
        <v>9</v>
      </c>
      <c r="C13" s="4">
        <v>117</v>
      </c>
      <c r="D13" s="4">
        <v>22</v>
      </c>
      <c r="E13" s="35"/>
      <c r="F13" s="21"/>
    </row>
  </sheetData>
  <mergeCells count="12">
    <mergeCell ref="A11:A13"/>
    <mergeCell ref="E11:E13"/>
    <mergeCell ref="F2:F4"/>
    <mergeCell ref="F5:F7"/>
    <mergeCell ref="F8:F10"/>
    <mergeCell ref="F11:F13"/>
    <mergeCell ref="A2:A4"/>
    <mergeCell ref="E2:E4"/>
    <mergeCell ref="A5:A7"/>
    <mergeCell ref="E5:E7"/>
    <mergeCell ref="A8:A10"/>
    <mergeCell ref="E8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BD54-EE86-F44A-B82C-DDD9DB5F1C0C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>
      <c r="A2" s="28" t="s">
        <v>6</v>
      </c>
      <c r="B2" s="4" t="s">
        <v>7</v>
      </c>
      <c r="C2" s="4">
        <v>4</v>
      </c>
      <c r="D2" s="4">
        <v>1</v>
      </c>
      <c r="E2" s="28">
        <f>SUM(C2:D4)</f>
        <v>243</v>
      </c>
      <c r="F2" s="31">
        <v>36</v>
      </c>
    </row>
    <row r="3" spans="1:6">
      <c r="A3" s="29"/>
      <c r="B3" s="4" t="s">
        <v>8</v>
      </c>
      <c r="C3" s="4">
        <v>0</v>
      </c>
      <c r="D3" s="4">
        <v>0</v>
      </c>
      <c r="E3" s="29"/>
      <c r="F3" s="32"/>
    </row>
    <row r="4" spans="1:6">
      <c r="A4" s="30"/>
      <c r="B4" s="4" t="s">
        <v>9</v>
      </c>
      <c r="C4" s="4">
        <v>221</v>
      </c>
      <c r="D4" s="4">
        <v>17</v>
      </c>
      <c r="E4" s="30"/>
      <c r="F4" s="33"/>
    </row>
    <row r="5" spans="1:6">
      <c r="A5" s="28" t="s">
        <v>10</v>
      </c>
      <c r="B5" s="4" t="s">
        <v>7</v>
      </c>
      <c r="C5" s="4">
        <v>27</v>
      </c>
      <c r="D5" s="4">
        <v>7</v>
      </c>
      <c r="E5" s="28">
        <f t="shared" ref="E5" si="0">SUM(C5:D7)</f>
        <v>133</v>
      </c>
      <c r="F5" s="31">
        <v>27</v>
      </c>
    </row>
    <row r="6" spans="1:6">
      <c r="A6" s="29"/>
      <c r="B6" s="4" t="s">
        <v>8</v>
      </c>
      <c r="C6" s="4">
        <v>0</v>
      </c>
      <c r="D6" s="4">
        <v>0</v>
      </c>
      <c r="E6" s="29"/>
      <c r="F6" s="32"/>
    </row>
    <row r="7" spans="1:6">
      <c r="A7" s="30"/>
      <c r="B7" s="4" t="s">
        <v>9</v>
      </c>
      <c r="C7" s="4">
        <v>95</v>
      </c>
      <c r="D7" s="4">
        <v>4</v>
      </c>
      <c r="E7" s="30"/>
      <c r="F7" s="33"/>
    </row>
    <row r="8" spans="1:6">
      <c r="A8" s="28" t="s">
        <v>11</v>
      </c>
      <c r="B8" s="4" t="s">
        <v>7</v>
      </c>
      <c r="C8" s="4">
        <v>8</v>
      </c>
      <c r="D8" s="4">
        <v>0</v>
      </c>
      <c r="E8" s="28">
        <f t="shared" ref="E8" si="1">SUM(C8:D10)</f>
        <v>8</v>
      </c>
      <c r="F8" s="31">
        <v>5</v>
      </c>
    </row>
    <row r="9" spans="1:6">
      <c r="A9" s="29"/>
      <c r="B9" s="4" t="s">
        <v>8</v>
      </c>
      <c r="C9" s="4">
        <v>0</v>
      </c>
      <c r="D9" s="4">
        <v>0</v>
      </c>
      <c r="E9" s="29"/>
      <c r="F9" s="32"/>
    </row>
    <row r="10" spans="1:6">
      <c r="A10" s="30"/>
      <c r="B10" s="4" t="s">
        <v>9</v>
      </c>
      <c r="C10" s="4">
        <v>0</v>
      </c>
      <c r="D10" s="4">
        <v>0</v>
      </c>
      <c r="E10" s="30"/>
      <c r="F10" s="33"/>
    </row>
    <row r="11" spans="1:6">
      <c r="A11" s="28" t="s">
        <v>12</v>
      </c>
      <c r="B11" s="4" t="s">
        <v>7</v>
      </c>
      <c r="C11" s="4">
        <v>11</v>
      </c>
      <c r="D11" s="4">
        <v>0</v>
      </c>
      <c r="E11" s="28">
        <f t="shared" ref="E11" si="2">SUM(C11:D13)</f>
        <v>36</v>
      </c>
      <c r="F11" s="31">
        <v>21</v>
      </c>
    </row>
    <row r="12" spans="1:6">
      <c r="A12" s="29"/>
      <c r="B12" s="4" t="s">
        <v>8</v>
      </c>
      <c r="C12" s="4">
        <v>0</v>
      </c>
      <c r="D12" s="4">
        <v>0</v>
      </c>
      <c r="E12" s="29"/>
      <c r="F12" s="32"/>
    </row>
    <row r="13" spans="1:6">
      <c r="A13" s="30"/>
      <c r="B13" s="4" t="s">
        <v>9</v>
      </c>
      <c r="C13" s="4">
        <v>21</v>
      </c>
      <c r="D13" s="4">
        <v>4</v>
      </c>
      <c r="E13" s="30"/>
      <c r="F13" s="32"/>
    </row>
  </sheetData>
  <mergeCells count="12">
    <mergeCell ref="A11:A13"/>
    <mergeCell ref="E11:E13"/>
    <mergeCell ref="F2:F4"/>
    <mergeCell ref="F5:F7"/>
    <mergeCell ref="F8:F10"/>
    <mergeCell ref="F11:F13"/>
    <mergeCell ref="A2:A4"/>
    <mergeCell ref="E2:E4"/>
    <mergeCell ref="A5:A7"/>
    <mergeCell ref="E5:E7"/>
    <mergeCell ref="A8:A10"/>
    <mergeCell ref="E8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E62A-F399-E44E-A266-160ADE836163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</row>
    <row r="2" spans="1:6">
      <c r="A2" s="28" t="s">
        <v>6</v>
      </c>
      <c r="B2" s="3" t="s">
        <v>7</v>
      </c>
      <c r="C2" s="3">
        <v>1</v>
      </c>
      <c r="D2" s="3">
        <v>0</v>
      </c>
      <c r="E2" s="28">
        <f>SUM(C2:D4)</f>
        <v>267</v>
      </c>
      <c r="F2" s="28">
        <v>39</v>
      </c>
    </row>
    <row r="3" spans="1:6">
      <c r="A3" s="29"/>
      <c r="B3" s="3" t="s">
        <v>8</v>
      </c>
      <c r="C3" s="3">
        <v>0</v>
      </c>
      <c r="D3" s="3">
        <v>0</v>
      </c>
      <c r="E3" s="29"/>
      <c r="F3" s="29"/>
    </row>
    <row r="4" spans="1:6">
      <c r="A4" s="30"/>
      <c r="B4" s="3" t="s">
        <v>9</v>
      </c>
      <c r="C4" s="3">
        <v>234</v>
      </c>
      <c r="D4" s="3">
        <v>32</v>
      </c>
      <c r="E4" s="30"/>
      <c r="F4" s="30"/>
    </row>
    <row r="5" spans="1:6">
      <c r="A5" s="28" t="s">
        <v>10</v>
      </c>
      <c r="B5" s="3" t="s">
        <v>7</v>
      </c>
      <c r="C5" s="3">
        <v>3</v>
      </c>
      <c r="D5" s="3">
        <v>1</v>
      </c>
      <c r="E5" s="28">
        <f t="shared" ref="E5" si="0">SUM(C5:D7)</f>
        <v>43</v>
      </c>
      <c r="F5" s="28">
        <v>12</v>
      </c>
    </row>
    <row r="6" spans="1:6">
      <c r="A6" s="29"/>
      <c r="B6" s="3" t="s">
        <v>8</v>
      </c>
      <c r="C6" s="3">
        <v>0</v>
      </c>
      <c r="D6" s="3">
        <v>0</v>
      </c>
      <c r="E6" s="29"/>
      <c r="F6" s="29"/>
    </row>
    <row r="7" spans="1:6">
      <c r="A7" s="30"/>
      <c r="B7" s="3" t="s">
        <v>9</v>
      </c>
      <c r="C7" s="3">
        <v>32</v>
      </c>
      <c r="D7" s="3">
        <v>7</v>
      </c>
      <c r="E7" s="30"/>
      <c r="F7" s="30"/>
    </row>
    <row r="8" spans="1:6">
      <c r="A8" s="28" t="s">
        <v>11</v>
      </c>
      <c r="B8" s="3" t="s">
        <v>7</v>
      </c>
      <c r="C8" s="3">
        <v>5</v>
      </c>
      <c r="D8" s="3">
        <v>1</v>
      </c>
      <c r="E8" s="28">
        <f t="shared" ref="E8" si="1">SUM(C8:D10)</f>
        <v>8</v>
      </c>
      <c r="F8" s="28">
        <v>7</v>
      </c>
    </row>
    <row r="9" spans="1:6">
      <c r="A9" s="29"/>
      <c r="B9" s="3" t="s">
        <v>8</v>
      </c>
      <c r="C9" s="3">
        <v>0</v>
      </c>
      <c r="D9" s="3">
        <v>0</v>
      </c>
      <c r="E9" s="29"/>
      <c r="F9" s="29"/>
    </row>
    <row r="10" spans="1:6">
      <c r="A10" s="30"/>
      <c r="B10" s="3" t="s">
        <v>9</v>
      </c>
      <c r="C10" s="3">
        <v>2</v>
      </c>
      <c r="D10" s="3">
        <v>0</v>
      </c>
      <c r="E10" s="30"/>
      <c r="F10" s="30"/>
    </row>
    <row r="11" spans="1:6">
      <c r="A11" s="28" t="s">
        <v>12</v>
      </c>
      <c r="B11" s="3" t="s">
        <v>7</v>
      </c>
      <c r="C11" s="3">
        <v>26</v>
      </c>
      <c r="D11" s="3">
        <v>6</v>
      </c>
      <c r="E11" s="28">
        <f t="shared" ref="E11" si="2">SUM(C11:D13)</f>
        <v>152</v>
      </c>
      <c r="F11" s="28">
        <v>39</v>
      </c>
    </row>
    <row r="12" spans="1:6">
      <c r="A12" s="29"/>
      <c r="B12" s="3" t="s">
        <v>8</v>
      </c>
      <c r="C12" s="3">
        <v>0</v>
      </c>
      <c r="D12" s="3">
        <v>0</v>
      </c>
      <c r="E12" s="29"/>
      <c r="F12" s="29"/>
    </row>
    <row r="13" spans="1:6">
      <c r="A13" s="30"/>
      <c r="B13" s="3" t="s">
        <v>9</v>
      </c>
      <c r="C13" s="3">
        <v>96</v>
      </c>
      <c r="D13" s="3">
        <v>24</v>
      </c>
      <c r="E13" s="30"/>
      <c r="F13" s="30"/>
    </row>
  </sheetData>
  <mergeCells count="12">
    <mergeCell ref="A2:A4"/>
    <mergeCell ref="E2:E4"/>
    <mergeCell ref="F2:F4"/>
    <mergeCell ref="A5:A7"/>
    <mergeCell ref="E5:E7"/>
    <mergeCell ref="F5:F7"/>
    <mergeCell ref="A8:A10"/>
    <mergeCell ref="E8:E10"/>
    <mergeCell ref="F8:F10"/>
    <mergeCell ref="A11:A13"/>
    <mergeCell ref="E11:E13"/>
    <mergeCell ref="F11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6DF4-181C-DF4B-8D06-ECE79262D10B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</row>
    <row r="2" spans="1:6">
      <c r="A2" s="28" t="s">
        <v>6</v>
      </c>
      <c r="B2" s="3" t="s">
        <v>7</v>
      </c>
      <c r="C2" s="3">
        <v>8</v>
      </c>
      <c r="D2" s="3">
        <v>0</v>
      </c>
      <c r="E2" s="28">
        <f>SUM(C2:D4)</f>
        <v>149</v>
      </c>
      <c r="F2" s="28">
        <v>39</v>
      </c>
    </row>
    <row r="3" spans="1:6">
      <c r="A3" s="29"/>
      <c r="B3" s="3" t="s">
        <v>8</v>
      </c>
      <c r="C3" s="3">
        <v>0</v>
      </c>
      <c r="D3" s="3">
        <v>0</v>
      </c>
      <c r="E3" s="29"/>
      <c r="F3" s="29"/>
    </row>
    <row r="4" spans="1:6">
      <c r="A4" s="30"/>
      <c r="B4" s="3" t="s">
        <v>9</v>
      </c>
      <c r="C4" s="3">
        <v>122</v>
      </c>
      <c r="D4" s="3">
        <v>19</v>
      </c>
      <c r="E4" s="30"/>
      <c r="F4" s="30"/>
    </row>
    <row r="5" spans="1:6">
      <c r="A5" s="28" t="s">
        <v>10</v>
      </c>
      <c r="B5" s="3" t="s">
        <v>7</v>
      </c>
      <c r="C5" s="3">
        <v>34</v>
      </c>
      <c r="D5" s="3">
        <v>6</v>
      </c>
      <c r="E5" s="28">
        <f t="shared" ref="E5" si="0">SUM(C5:D7)</f>
        <v>199</v>
      </c>
      <c r="F5" s="28">
        <v>26</v>
      </c>
    </row>
    <row r="6" spans="1:6">
      <c r="A6" s="29"/>
      <c r="B6" s="3" t="s">
        <v>8</v>
      </c>
      <c r="C6" s="3">
        <v>0</v>
      </c>
      <c r="D6" s="3">
        <v>0</v>
      </c>
      <c r="E6" s="29"/>
      <c r="F6" s="29"/>
    </row>
    <row r="7" spans="1:6">
      <c r="A7" s="30"/>
      <c r="B7" s="3" t="s">
        <v>9</v>
      </c>
      <c r="C7" s="3">
        <v>141</v>
      </c>
      <c r="D7" s="3">
        <v>18</v>
      </c>
      <c r="E7" s="30"/>
      <c r="F7" s="30"/>
    </row>
    <row r="8" spans="1:6">
      <c r="A8" s="28" t="s">
        <v>11</v>
      </c>
      <c r="B8" s="3" t="s">
        <v>7</v>
      </c>
      <c r="C8" s="3">
        <v>19</v>
      </c>
      <c r="D8" s="3">
        <v>4</v>
      </c>
      <c r="E8" s="28">
        <f t="shared" ref="E8" si="1">SUM(C8:D10)</f>
        <v>27</v>
      </c>
      <c r="F8" s="28">
        <v>20</v>
      </c>
    </row>
    <row r="9" spans="1:6">
      <c r="A9" s="29"/>
      <c r="B9" s="3" t="s">
        <v>8</v>
      </c>
      <c r="C9" s="3">
        <v>0</v>
      </c>
      <c r="D9" s="3">
        <v>0</v>
      </c>
      <c r="E9" s="29"/>
      <c r="F9" s="29"/>
    </row>
    <row r="10" spans="1:6">
      <c r="A10" s="30"/>
      <c r="B10" s="3" t="s">
        <v>9</v>
      </c>
      <c r="C10" s="3">
        <v>3</v>
      </c>
      <c r="D10" s="3">
        <v>1</v>
      </c>
      <c r="E10" s="30"/>
      <c r="F10" s="30"/>
    </row>
    <row r="11" spans="1:6">
      <c r="A11" s="28" t="s">
        <v>12</v>
      </c>
      <c r="B11" s="3" t="s">
        <v>7</v>
      </c>
      <c r="C11" s="3">
        <v>25</v>
      </c>
      <c r="D11" s="3">
        <v>8</v>
      </c>
      <c r="E11" s="28">
        <f t="shared" ref="E11" si="2">SUM(C11:D13)</f>
        <v>191</v>
      </c>
      <c r="F11" s="28">
        <v>56</v>
      </c>
    </row>
    <row r="12" spans="1:6">
      <c r="A12" s="29"/>
      <c r="B12" s="3" t="s">
        <v>8</v>
      </c>
      <c r="C12" s="3">
        <v>0</v>
      </c>
      <c r="D12" s="3">
        <v>0</v>
      </c>
      <c r="E12" s="29"/>
      <c r="F12" s="29"/>
    </row>
    <row r="13" spans="1:6">
      <c r="A13" s="30"/>
      <c r="B13" s="3" t="s">
        <v>9</v>
      </c>
      <c r="C13" s="3">
        <v>118</v>
      </c>
      <c r="D13" s="3">
        <v>40</v>
      </c>
      <c r="E13" s="30"/>
      <c r="F13" s="30"/>
    </row>
  </sheetData>
  <mergeCells count="12">
    <mergeCell ref="A2:A4"/>
    <mergeCell ref="E2:E4"/>
    <mergeCell ref="F2:F4"/>
    <mergeCell ref="A5:A7"/>
    <mergeCell ref="E5:E7"/>
    <mergeCell ref="F5:F7"/>
    <mergeCell ref="A8:A10"/>
    <mergeCell ref="E8:E10"/>
    <mergeCell ref="F8:F10"/>
    <mergeCell ref="A11:A13"/>
    <mergeCell ref="E11:E13"/>
    <mergeCell ref="F11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4ECB-E0A9-2340-AA38-ADDEE06D6FF2}">
  <dimension ref="A1:F13"/>
  <sheetViews>
    <sheetView workbookViewId="0">
      <selection activeCell="E2" sqref="E2:E13"/>
    </sheetView>
  </sheetViews>
  <sheetFormatPr defaultColWidth="11" defaultRowHeight="15.75" customHeight="1"/>
  <sheetData>
    <row r="1" spans="1:6" ht="4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>
      <c r="A2" s="22" t="s">
        <v>6</v>
      </c>
      <c r="B2" s="4" t="s">
        <v>7</v>
      </c>
      <c r="C2" s="4">
        <v>5</v>
      </c>
      <c r="D2" s="4">
        <v>0</v>
      </c>
      <c r="E2" s="22">
        <f>SUM(C2:D4)</f>
        <v>225</v>
      </c>
      <c r="F2" s="22">
        <v>35</v>
      </c>
    </row>
    <row r="3" spans="1:6">
      <c r="A3" s="22"/>
      <c r="B3" s="4" t="s">
        <v>8</v>
      </c>
      <c r="C3" s="4">
        <v>0</v>
      </c>
      <c r="D3" s="4">
        <v>0</v>
      </c>
      <c r="E3" s="22"/>
      <c r="F3" s="22"/>
    </row>
    <row r="4" spans="1:6">
      <c r="A4" s="22"/>
      <c r="B4" s="4" t="s">
        <v>9</v>
      </c>
      <c r="C4" s="4">
        <v>202</v>
      </c>
      <c r="D4" s="4">
        <v>18</v>
      </c>
      <c r="E4" s="22"/>
      <c r="F4" s="22"/>
    </row>
    <row r="5" spans="1:6">
      <c r="A5" s="22" t="s">
        <v>10</v>
      </c>
      <c r="B5" s="4" t="s">
        <v>7</v>
      </c>
      <c r="C5" s="4">
        <v>66</v>
      </c>
      <c r="D5" s="4">
        <v>3</v>
      </c>
      <c r="E5" s="22">
        <f t="shared" ref="E5" si="0">SUM(C5:D7)</f>
        <v>222</v>
      </c>
      <c r="F5" s="22">
        <v>22</v>
      </c>
    </row>
    <row r="6" spans="1:6">
      <c r="A6" s="22"/>
      <c r="B6" s="4" t="s">
        <v>8</v>
      </c>
      <c r="C6" s="4">
        <v>0</v>
      </c>
      <c r="D6" s="4">
        <v>0</v>
      </c>
      <c r="E6" s="22"/>
      <c r="F6" s="22"/>
    </row>
    <row r="7" spans="1:6">
      <c r="A7" s="22"/>
      <c r="B7" s="4" t="s">
        <v>9</v>
      </c>
      <c r="C7" s="4">
        <v>140</v>
      </c>
      <c r="D7" s="4">
        <v>13</v>
      </c>
      <c r="E7" s="22"/>
      <c r="F7" s="22"/>
    </row>
    <row r="8" spans="1:6">
      <c r="A8" s="22" t="s">
        <v>11</v>
      </c>
      <c r="B8" s="4" t="s">
        <v>7</v>
      </c>
      <c r="C8" s="4">
        <v>1</v>
      </c>
      <c r="D8" s="4">
        <v>1</v>
      </c>
      <c r="E8" s="22">
        <f t="shared" ref="E8" si="1">SUM(C8:D10)</f>
        <v>6</v>
      </c>
      <c r="F8" s="22">
        <v>19</v>
      </c>
    </row>
    <row r="9" spans="1:6">
      <c r="A9" s="22"/>
      <c r="B9" s="4" t="s">
        <v>8</v>
      </c>
      <c r="C9" s="4">
        <v>0</v>
      </c>
      <c r="D9" s="4">
        <v>0</v>
      </c>
      <c r="E9" s="22"/>
      <c r="F9" s="22"/>
    </row>
    <row r="10" spans="1:6">
      <c r="A10" s="22"/>
      <c r="B10" s="4" t="s">
        <v>9</v>
      </c>
      <c r="C10" s="4">
        <v>3</v>
      </c>
      <c r="D10" s="4">
        <v>1</v>
      </c>
      <c r="E10" s="22"/>
      <c r="F10" s="22"/>
    </row>
    <row r="11" spans="1:6">
      <c r="A11" s="22" t="s">
        <v>12</v>
      </c>
      <c r="B11" s="4" t="s">
        <v>7</v>
      </c>
      <c r="C11" s="4">
        <v>4</v>
      </c>
      <c r="D11" s="4">
        <v>1</v>
      </c>
      <c r="E11" s="22">
        <f t="shared" ref="E11" si="2">SUM(C11:D13)</f>
        <v>58</v>
      </c>
      <c r="F11" s="22">
        <v>33</v>
      </c>
    </row>
    <row r="12" spans="1:6">
      <c r="A12" s="22"/>
      <c r="B12" s="4" t="s">
        <v>8</v>
      </c>
      <c r="C12" s="4">
        <v>0</v>
      </c>
      <c r="D12" s="4">
        <v>0</v>
      </c>
      <c r="E12" s="22"/>
      <c r="F12" s="22"/>
    </row>
    <row r="13" spans="1:6">
      <c r="A13" s="22"/>
      <c r="B13" s="4" t="s">
        <v>9</v>
      </c>
      <c r="C13" s="4">
        <v>42</v>
      </c>
      <c r="D13" s="4">
        <v>11</v>
      </c>
      <c r="E13" s="22"/>
      <c r="F13" s="22"/>
    </row>
  </sheetData>
  <mergeCells count="12">
    <mergeCell ref="A2:A4"/>
    <mergeCell ref="E2:E4"/>
    <mergeCell ref="F2:F4"/>
    <mergeCell ref="A5:A7"/>
    <mergeCell ref="E5:E7"/>
    <mergeCell ref="F5:F7"/>
    <mergeCell ref="A8:A10"/>
    <mergeCell ref="E8:E10"/>
    <mergeCell ref="F8:F10"/>
    <mergeCell ref="A11:A13"/>
    <mergeCell ref="E11:E13"/>
    <mergeCell ref="F11:F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AF26-E095-1940-B5A7-FC440414D55B}">
  <dimension ref="A1:F19"/>
  <sheetViews>
    <sheetView topLeftCell="A3" zoomScaleNormal="100" workbookViewId="0">
      <selection activeCell="B14" sqref="B14:C14"/>
    </sheetView>
  </sheetViews>
  <sheetFormatPr defaultColWidth="11" defaultRowHeight="15.95"/>
  <sheetData>
    <row r="1" spans="1:6">
      <c r="A1" s="12" t="s">
        <v>15</v>
      </c>
      <c r="B1" s="12" t="s">
        <v>6</v>
      </c>
      <c r="C1" s="12" t="s">
        <v>10</v>
      </c>
      <c r="D1" s="12" t="s">
        <v>11</v>
      </c>
      <c r="E1" s="12" t="s">
        <v>12</v>
      </c>
    </row>
    <row r="2" spans="1:6">
      <c r="A2" s="12">
        <v>2012</v>
      </c>
      <c r="B2" s="12">
        <v>542</v>
      </c>
      <c r="C2" s="12">
        <v>143</v>
      </c>
      <c r="D2" s="12">
        <v>229</v>
      </c>
      <c r="E2" s="12">
        <v>1976</v>
      </c>
      <c r="F2" s="11"/>
    </row>
    <row r="3" spans="1:6">
      <c r="A3" s="12">
        <v>2013</v>
      </c>
      <c r="B3" s="12">
        <v>447</v>
      </c>
      <c r="C3" s="12">
        <v>344</v>
      </c>
      <c r="D3" s="12">
        <v>107</v>
      </c>
      <c r="E3" s="12">
        <v>222</v>
      </c>
      <c r="F3" s="11"/>
    </row>
    <row r="4" spans="1:6">
      <c r="A4" s="12">
        <v>2014</v>
      </c>
      <c r="B4" s="12">
        <v>897</v>
      </c>
      <c r="C4" s="12">
        <v>127</v>
      </c>
      <c r="D4" s="12">
        <v>30</v>
      </c>
      <c r="E4" s="12">
        <v>440</v>
      </c>
      <c r="F4" s="11"/>
    </row>
    <row r="5" spans="1:6">
      <c r="A5" s="12">
        <v>2015</v>
      </c>
      <c r="B5" s="12">
        <v>860</v>
      </c>
      <c r="C5" s="12">
        <v>109</v>
      </c>
      <c r="D5" s="12">
        <v>107</v>
      </c>
      <c r="E5" s="12">
        <v>304</v>
      </c>
      <c r="F5" s="11"/>
    </row>
    <row r="6" spans="1:6">
      <c r="A6" s="12">
        <v>2016</v>
      </c>
      <c r="B6" s="12">
        <v>492</v>
      </c>
      <c r="C6" s="12">
        <v>158</v>
      </c>
      <c r="D6" s="12">
        <v>42</v>
      </c>
      <c r="E6" s="12">
        <v>415</v>
      </c>
      <c r="F6" s="11"/>
    </row>
    <row r="7" spans="1:6">
      <c r="A7" s="12">
        <v>2017</v>
      </c>
      <c r="B7" s="12">
        <v>607</v>
      </c>
      <c r="C7" s="12">
        <v>72</v>
      </c>
      <c r="D7" s="12">
        <v>48</v>
      </c>
      <c r="E7" s="12">
        <v>149</v>
      </c>
      <c r="F7" s="11"/>
    </row>
    <row r="8" spans="1:6">
      <c r="A8" s="12">
        <v>2018</v>
      </c>
      <c r="B8" s="12">
        <v>244</v>
      </c>
      <c r="C8" s="12">
        <v>100</v>
      </c>
      <c r="D8" s="12">
        <v>24</v>
      </c>
      <c r="E8" s="12">
        <v>170</v>
      </c>
      <c r="F8" s="11"/>
    </row>
    <row r="9" spans="1:6">
      <c r="A9" s="12">
        <v>2019</v>
      </c>
      <c r="B9" s="12">
        <v>243</v>
      </c>
      <c r="C9" s="12">
        <v>133</v>
      </c>
      <c r="D9" s="12">
        <v>8</v>
      </c>
      <c r="E9" s="12">
        <v>36</v>
      </c>
      <c r="F9" s="11"/>
    </row>
    <row r="10" spans="1:6">
      <c r="A10" s="12">
        <v>2020</v>
      </c>
      <c r="B10" s="12">
        <v>267</v>
      </c>
      <c r="C10" s="12">
        <v>43</v>
      </c>
      <c r="D10" s="12">
        <v>8</v>
      </c>
      <c r="E10" s="12">
        <v>152</v>
      </c>
      <c r="F10" s="11"/>
    </row>
    <row r="11" spans="1:6">
      <c r="A11" s="12">
        <v>2021</v>
      </c>
      <c r="B11" s="12">
        <v>149</v>
      </c>
      <c r="C11" s="12">
        <v>199</v>
      </c>
      <c r="D11" s="12">
        <v>27</v>
      </c>
      <c r="E11" s="12">
        <v>191</v>
      </c>
      <c r="F11" s="11"/>
    </row>
    <row r="12" spans="1:6">
      <c r="A12" s="12">
        <v>2022</v>
      </c>
      <c r="B12" s="12">
        <v>225</v>
      </c>
      <c r="C12" s="12">
        <v>222</v>
      </c>
      <c r="D12" s="12">
        <v>6</v>
      </c>
      <c r="E12" s="12">
        <v>58</v>
      </c>
      <c r="F12" s="11"/>
    </row>
    <row r="13" spans="1:6" ht="15.75">
      <c r="A13" t="s">
        <v>4</v>
      </c>
      <c r="B13">
        <f>SUM(B2:B12)</f>
        <v>4973</v>
      </c>
      <c r="C13">
        <f t="shared" ref="C13:E13" si="0">SUM(C2:C12)</f>
        <v>1650</v>
      </c>
      <c r="D13">
        <f t="shared" si="0"/>
        <v>636</v>
      </c>
      <c r="E13">
        <f t="shared" si="0"/>
        <v>4113</v>
      </c>
      <c r="F13" s="11"/>
    </row>
    <row r="14" spans="1:6" ht="37.5" customHeight="1">
      <c r="B14" s="36" t="s">
        <v>16</v>
      </c>
      <c r="C14" s="36"/>
    </row>
    <row r="15" spans="1:6" ht="15.75">
      <c r="B15" s="18" t="s">
        <v>0</v>
      </c>
      <c r="C15" s="18" t="s">
        <v>17</v>
      </c>
    </row>
    <row r="16" spans="1:6">
      <c r="B16" s="17" t="s">
        <v>18</v>
      </c>
      <c r="C16" s="17">
        <v>4973</v>
      </c>
    </row>
    <row r="17" spans="2:3">
      <c r="B17" s="17" t="s">
        <v>19</v>
      </c>
      <c r="C17" s="17">
        <v>4113</v>
      </c>
    </row>
    <row r="18" spans="2:3">
      <c r="B18" s="17" t="s">
        <v>20</v>
      </c>
      <c r="C18" s="17">
        <v>1650</v>
      </c>
    </row>
    <row r="19" spans="2:3">
      <c r="B19" s="17" t="s">
        <v>21</v>
      </c>
      <c r="C19" s="17">
        <v>636</v>
      </c>
    </row>
  </sheetData>
  <mergeCells count="1">
    <mergeCell ref="B14:C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7D34-BFA4-B24C-A89E-CD1596ABC669}">
  <dimension ref="A1:K27"/>
  <sheetViews>
    <sheetView tabSelected="1" topLeftCell="A6" workbookViewId="0">
      <selection activeCell="Q27" sqref="Q27"/>
    </sheetView>
  </sheetViews>
  <sheetFormatPr defaultColWidth="11" defaultRowHeight="15.95"/>
  <cols>
    <col min="2" max="5" width="11.625" bestFit="1" customWidth="1"/>
  </cols>
  <sheetData>
    <row r="1" spans="1:11">
      <c r="A1" s="12" t="s">
        <v>15</v>
      </c>
      <c r="B1" s="12" t="s">
        <v>6</v>
      </c>
      <c r="C1" s="12" t="s">
        <v>10</v>
      </c>
      <c r="D1" s="12" t="s">
        <v>11</v>
      </c>
      <c r="E1" s="12" t="s">
        <v>12</v>
      </c>
      <c r="H1" s="12" t="s">
        <v>6</v>
      </c>
      <c r="I1" s="12" t="s">
        <v>10</v>
      </c>
      <c r="J1" s="12" t="s">
        <v>11</v>
      </c>
      <c r="K1" s="12" t="s">
        <v>12</v>
      </c>
    </row>
    <row r="2" spans="1:11">
      <c r="A2" s="12">
        <v>2012</v>
      </c>
      <c r="B2" s="12">
        <v>42</v>
      </c>
      <c r="C2" s="12">
        <v>24</v>
      </c>
      <c r="D2" s="12">
        <v>50</v>
      </c>
      <c r="E2" s="13">
        <v>148</v>
      </c>
      <c r="G2" t="s">
        <v>22</v>
      </c>
      <c r="H2">
        <v>58</v>
      </c>
      <c r="I2">
        <v>64</v>
      </c>
      <c r="J2">
        <v>77</v>
      </c>
      <c r="K2">
        <v>254</v>
      </c>
    </row>
    <row r="3" spans="1:11">
      <c r="A3" s="12">
        <v>2013</v>
      </c>
      <c r="B3" s="12">
        <v>43</v>
      </c>
      <c r="C3" s="12">
        <v>32</v>
      </c>
      <c r="D3" s="12">
        <v>47</v>
      </c>
      <c r="E3" s="13">
        <v>111</v>
      </c>
    </row>
    <row r="4" spans="1:11">
      <c r="A4" s="12">
        <v>2014</v>
      </c>
      <c r="B4" s="12">
        <v>45</v>
      </c>
      <c r="C4" s="12">
        <v>24</v>
      </c>
      <c r="D4" s="12">
        <v>28</v>
      </c>
      <c r="E4" s="13">
        <v>87</v>
      </c>
    </row>
    <row r="5" spans="1:11">
      <c r="A5" s="12">
        <v>2015</v>
      </c>
      <c r="B5" s="12">
        <v>43</v>
      </c>
      <c r="C5" s="12">
        <v>29</v>
      </c>
      <c r="D5" s="12">
        <v>38</v>
      </c>
      <c r="E5" s="13">
        <v>103</v>
      </c>
    </row>
    <row r="6" spans="1:11">
      <c r="A6" s="12">
        <v>2016</v>
      </c>
      <c r="B6" s="12">
        <v>42</v>
      </c>
      <c r="C6" s="12">
        <v>22</v>
      </c>
      <c r="D6" s="12">
        <v>27</v>
      </c>
      <c r="E6" s="13">
        <v>121</v>
      </c>
    </row>
    <row r="7" spans="1:11">
      <c r="A7" s="12">
        <v>2017</v>
      </c>
      <c r="B7" s="12">
        <v>47</v>
      </c>
      <c r="C7" s="12">
        <v>24</v>
      </c>
      <c r="D7" s="12">
        <v>21</v>
      </c>
      <c r="E7" s="13">
        <v>52</v>
      </c>
    </row>
    <row r="8" spans="1:11">
      <c r="A8" s="12">
        <v>2018</v>
      </c>
      <c r="B8" s="12">
        <v>42</v>
      </c>
      <c r="C8" s="12">
        <v>20</v>
      </c>
      <c r="D8" s="12">
        <v>20</v>
      </c>
      <c r="E8" s="13">
        <v>58</v>
      </c>
    </row>
    <row r="9" spans="1:11">
      <c r="A9" s="12">
        <v>2019</v>
      </c>
      <c r="B9" s="12">
        <v>36</v>
      </c>
      <c r="C9" s="12">
        <v>27</v>
      </c>
      <c r="D9" s="12">
        <v>5</v>
      </c>
      <c r="E9" s="13">
        <v>21</v>
      </c>
    </row>
    <row r="10" spans="1:11">
      <c r="A10" s="12">
        <v>2020</v>
      </c>
      <c r="B10" s="12">
        <v>39</v>
      </c>
      <c r="C10" s="12">
        <v>12</v>
      </c>
      <c r="D10" s="12">
        <v>7</v>
      </c>
      <c r="E10" s="13">
        <v>39</v>
      </c>
    </row>
    <row r="11" spans="1:11">
      <c r="A11" s="12">
        <v>2021</v>
      </c>
      <c r="B11" s="12">
        <v>39</v>
      </c>
      <c r="C11" s="12">
        <v>26</v>
      </c>
      <c r="D11" s="12">
        <v>20</v>
      </c>
      <c r="E11" s="13">
        <v>56</v>
      </c>
    </row>
    <row r="12" spans="1:11">
      <c r="A12" s="12">
        <v>2022</v>
      </c>
      <c r="B12" s="12">
        <v>35</v>
      </c>
      <c r="C12" s="12">
        <v>22</v>
      </c>
      <c r="D12" s="12">
        <v>19</v>
      </c>
      <c r="E12" s="13">
        <v>33</v>
      </c>
    </row>
    <row r="14" spans="1:11">
      <c r="A14" s="37" t="s">
        <v>23</v>
      </c>
      <c r="B14" s="37"/>
      <c r="C14" s="37"/>
      <c r="D14" s="37"/>
      <c r="E14" s="37"/>
    </row>
    <row r="15" spans="1:11">
      <c r="A15" s="12" t="s">
        <v>15</v>
      </c>
      <c r="B15" s="12" t="s">
        <v>6</v>
      </c>
      <c r="C15" s="12" t="s">
        <v>10</v>
      </c>
      <c r="D15" s="12" t="s">
        <v>11</v>
      </c>
      <c r="E15" s="12" t="s">
        <v>12</v>
      </c>
    </row>
    <row r="16" spans="1:11">
      <c r="A16" s="12">
        <v>2012</v>
      </c>
      <c r="B16" s="14">
        <f>(B2/$H$2)*100</f>
        <v>72.41379310344827</v>
      </c>
      <c r="C16" s="14">
        <f>(C2/$I$2)*100</f>
        <v>37.5</v>
      </c>
      <c r="D16" s="14">
        <f>(D2/$J$2)*100</f>
        <v>64.935064935064929</v>
      </c>
      <c r="E16" s="14">
        <f>(E2/$K$2)*100</f>
        <v>58.267716535433067</v>
      </c>
    </row>
    <row r="17" spans="1:5">
      <c r="A17" s="12">
        <v>2013</v>
      </c>
      <c r="B17" s="14">
        <f t="shared" ref="B17:B26" si="0">(B3/$H$2)*100</f>
        <v>74.137931034482762</v>
      </c>
      <c r="C17" s="14">
        <f t="shared" ref="C17:C26" si="1">(C3/$I$2)*100</f>
        <v>50</v>
      </c>
      <c r="D17" s="14">
        <f t="shared" ref="D17:D26" si="2">(D3/$J$2)*100</f>
        <v>61.038961038961034</v>
      </c>
      <c r="E17" s="14">
        <f t="shared" ref="E17:E26" si="3">(E3/$K$2)*100</f>
        <v>43.7007874015748</v>
      </c>
    </row>
    <row r="18" spans="1:5">
      <c r="A18" s="12">
        <v>2014</v>
      </c>
      <c r="B18" s="14">
        <f t="shared" si="0"/>
        <v>77.58620689655173</v>
      </c>
      <c r="C18" s="14">
        <f t="shared" si="1"/>
        <v>37.5</v>
      </c>
      <c r="D18" s="14">
        <f t="shared" si="2"/>
        <v>36.363636363636367</v>
      </c>
      <c r="E18" s="14">
        <f t="shared" si="3"/>
        <v>34.251968503937007</v>
      </c>
    </row>
    <row r="19" spans="1:5">
      <c r="A19" s="12">
        <v>2015</v>
      </c>
      <c r="B19" s="14">
        <f t="shared" si="0"/>
        <v>74.137931034482762</v>
      </c>
      <c r="C19" s="14">
        <f t="shared" si="1"/>
        <v>45.3125</v>
      </c>
      <c r="D19" s="14">
        <f t="shared" si="2"/>
        <v>49.350649350649348</v>
      </c>
      <c r="E19" s="14">
        <f t="shared" si="3"/>
        <v>40.551181102362207</v>
      </c>
    </row>
    <row r="20" spans="1:5">
      <c r="A20" s="12">
        <v>2016</v>
      </c>
      <c r="B20" s="14">
        <f t="shared" si="0"/>
        <v>72.41379310344827</v>
      </c>
      <c r="C20" s="14">
        <f t="shared" si="1"/>
        <v>34.375</v>
      </c>
      <c r="D20" s="14">
        <f t="shared" si="2"/>
        <v>35.064935064935064</v>
      </c>
      <c r="E20" s="14">
        <f t="shared" si="3"/>
        <v>47.637795275590548</v>
      </c>
    </row>
    <row r="21" spans="1:5">
      <c r="A21" s="12">
        <v>2017</v>
      </c>
      <c r="B21" s="14">
        <f t="shared" si="0"/>
        <v>81.034482758620683</v>
      </c>
      <c r="C21" s="14">
        <f t="shared" si="1"/>
        <v>37.5</v>
      </c>
      <c r="D21" s="14">
        <f t="shared" si="2"/>
        <v>27.27272727272727</v>
      </c>
      <c r="E21" s="14">
        <f t="shared" si="3"/>
        <v>20.472440944881889</v>
      </c>
    </row>
    <row r="22" spans="1:5">
      <c r="A22" s="12">
        <v>2018</v>
      </c>
      <c r="B22" s="14">
        <f t="shared" si="0"/>
        <v>72.41379310344827</v>
      </c>
      <c r="C22" s="14">
        <f t="shared" si="1"/>
        <v>31.25</v>
      </c>
      <c r="D22" s="14">
        <f t="shared" si="2"/>
        <v>25.97402597402597</v>
      </c>
      <c r="E22" s="14">
        <f t="shared" si="3"/>
        <v>22.834645669291341</v>
      </c>
    </row>
    <row r="23" spans="1:5">
      <c r="A23" s="12">
        <v>2019</v>
      </c>
      <c r="B23" s="14">
        <f t="shared" si="0"/>
        <v>62.068965517241381</v>
      </c>
      <c r="C23" s="14">
        <f t="shared" si="1"/>
        <v>42.1875</v>
      </c>
      <c r="D23" s="14">
        <f t="shared" si="2"/>
        <v>6.4935064935064926</v>
      </c>
      <c r="E23" s="14">
        <f t="shared" si="3"/>
        <v>8.2677165354330722</v>
      </c>
    </row>
    <row r="24" spans="1:5">
      <c r="A24" s="12">
        <v>2020</v>
      </c>
      <c r="B24" s="14">
        <f t="shared" si="0"/>
        <v>67.241379310344826</v>
      </c>
      <c r="C24" s="14">
        <f t="shared" si="1"/>
        <v>18.75</v>
      </c>
      <c r="D24" s="14">
        <f t="shared" si="2"/>
        <v>9.0909090909090917</v>
      </c>
      <c r="E24" s="14">
        <f t="shared" si="3"/>
        <v>15.354330708661418</v>
      </c>
    </row>
    <row r="25" spans="1:5">
      <c r="A25" s="12">
        <v>2021</v>
      </c>
      <c r="B25" s="14">
        <f t="shared" si="0"/>
        <v>67.241379310344826</v>
      </c>
      <c r="C25" s="14">
        <f t="shared" si="1"/>
        <v>40.625</v>
      </c>
      <c r="D25" s="14">
        <f t="shared" si="2"/>
        <v>25.97402597402597</v>
      </c>
      <c r="E25" s="14">
        <f t="shared" si="3"/>
        <v>22.047244094488189</v>
      </c>
    </row>
    <row r="26" spans="1:5">
      <c r="A26" s="12">
        <v>2022</v>
      </c>
      <c r="B26" s="14">
        <f t="shared" si="0"/>
        <v>60.344827586206897</v>
      </c>
      <c r="C26" s="14">
        <f t="shared" si="1"/>
        <v>34.375</v>
      </c>
      <c r="D26" s="14">
        <f t="shared" si="2"/>
        <v>24.675324675324674</v>
      </c>
      <c r="E26" s="14">
        <f t="shared" si="3"/>
        <v>12.992125984251967</v>
      </c>
    </row>
    <row r="27" spans="1:5">
      <c r="A27" t="s">
        <v>24</v>
      </c>
      <c r="B27" s="15">
        <f>AVERAGE(B16:B26)</f>
        <v>71.003134796238257</v>
      </c>
      <c r="C27" s="15">
        <f t="shared" ref="C27:E27" si="4">AVERAGE(C16:C26)</f>
        <v>37.215909090909093</v>
      </c>
      <c r="D27" s="15">
        <f t="shared" si="4"/>
        <v>33.293978748524189</v>
      </c>
      <c r="E27" s="15">
        <f t="shared" si="4"/>
        <v>29.670722977809589</v>
      </c>
    </row>
  </sheetData>
  <mergeCells count="1">
    <mergeCell ref="A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Gargi Deshpande</dc:creator>
  <cp:keywords/>
  <dc:description/>
  <cp:lastModifiedBy>Deshpande, Gargi N (HSC)</cp:lastModifiedBy>
  <cp:revision/>
  <dcterms:created xsi:type="dcterms:W3CDTF">2025-03-09T15:13:32Z</dcterms:created>
  <dcterms:modified xsi:type="dcterms:W3CDTF">2026-03-30T15:48:33Z</dcterms:modified>
  <cp:category/>
  <cp:contentStatus/>
</cp:coreProperties>
</file>